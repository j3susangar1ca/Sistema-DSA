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10.2.1.92\FAA_divserv_admvos\COMPRAS\COMPRAS 2026\FORMATOS\"/>
    </mc:Choice>
  </mc:AlternateContent>
  <xr:revisionPtr revIDLastSave="0" documentId="13_ncr:1_{C97B79D9-1B29-4235-B2E5-D55A58C9802F}" xr6:coauthVersionLast="47" xr6:coauthVersionMax="47" xr10:uidLastSave="{00000000-0000-0000-0000-000000000000}"/>
  <bookViews>
    <workbookView xWindow="-120" yWindow="-120" windowWidth="21840" windowHeight="13020" tabRatio="597" activeTab="1" xr2:uid="{00000000-000D-0000-FFFF-FFFF00000000}"/>
  </bookViews>
  <sheets>
    <sheet name="Estudio de Mercado" sheetId="2" r:id="rId1"/>
    <sheet name="Estudio de Mercado 1" sheetId="3" r:id="rId2"/>
    <sheet name="Proveedor" sheetId="6" r:id="rId3"/>
  </sheets>
  <externalReferences>
    <externalReference r:id="rId4"/>
  </externalReferences>
  <definedNames>
    <definedName name="_xlnm.Print_Area" localSheetId="0">'Estudio de Mercado'!$A$1:$L$41</definedName>
    <definedName name="_xlnm.Print_Area" localSheetId="1">'Estudio de Mercado 1'!$A$1:$O$23</definedName>
    <definedName name="_xlnm.Print_Area" localSheetId="2">Proveedor!$A$1:$G$28</definedName>
    <definedName name="Z_6219652A_33D5_4491_B619_32BA2F938DF5_.wvu.PrintArea" localSheetId="2" hidden="1">Proveedor!$A$1:$G$28</definedName>
    <definedName name="Z_A52C0EEE_BBA7_46C0_A1C7_9E4C250A119A_.wvu.PrintArea" localSheetId="2" hidden="1">Proveedor!$A$1:$G$28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2" l="1"/>
  <c r="I23" i="2"/>
  <c r="G23" i="2"/>
  <c r="O6" i="2" l="1"/>
  <c r="K4" i="2" l="1"/>
  <c r="L2" i="3"/>
  <c r="N2" i="3"/>
  <c r="J2" i="3"/>
  <c r="D35" i="6" l="1"/>
  <c r="D34" i="6"/>
  <c r="E23" i="6"/>
  <c r="E22" i="6"/>
  <c r="E21" i="6"/>
  <c r="E20" i="6"/>
  <c r="E19" i="6"/>
  <c r="E18" i="6"/>
  <c r="E17" i="6"/>
  <c r="E16" i="6"/>
  <c r="E15" i="6"/>
  <c r="E14" i="6"/>
  <c r="L24" i="2" l="1"/>
  <c r="L23" i="2" l="1"/>
  <c r="L26" i="2" l="1"/>
</calcChain>
</file>

<file path=xl/sharedStrings.xml><?xml version="1.0" encoding="utf-8"?>
<sst xmlns="http://schemas.openxmlformats.org/spreadsheetml/2006/main" count="231" uniqueCount="172">
  <si>
    <t>CANTIDAD</t>
  </si>
  <si>
    <t>INVESTIGACION DE MERCADO</t>
  </si>
  <si>
    <t>ÁREA REQUIRENTE:</t>
  </si>
  <si>
    <t>DESCRIPCIÓN</t>
  </si>
  <si>
    <t>NOMBRE DEL PROVEEDOR:</t>
  </si>
  <si>
    <t>CONTACTO DE VENTAS:</t>
  </si>
  <si>
    <t>DOMICILIO</t>
  </si>
  <si>
    <t>TELEFONO</t>
  </si>
  <si>
    <t>CORREO ELECTRONICO</t>
  </si>
  <si>
    <t>R.F.C.</t>
  </si>
  <si>
    <t>DATOS GENERAL DEL PROVEEDOR</t>
  </si>
  <si>
    <t>TIEMPO DE ENTREGA</t>
  </si>
  <si>
    <t>CONDICIONES DE PAGO</t>
  </si>
  <si>
    <t>UNIDAD DE MEDIDA</t>
  </si>
  <si>
    <t>CONDICIONES DE VENTA</t>
  </si>
  <si>
    <t>MANIFIESTO:</t>
  </si>
  <si>
    <t>ELABORÓ</t>
  </si>
  <si>
    <t>AUTORIZÓ</t>
  </si>
  <si>
    <t>I</t>
  </si>
  <si>
    <t>II</t>
  </si>
  <si>
    <t>III</t>
  </si>
  <si>
    <t>IV</t>
  </si>
  <si>
    <t>FECHA:</t>
  </si>
  <si>
    <t>ANEXOS:</t>
  </si>
  <si>
    <t>FUENTE UTILIZADA PARA LA INVESTIGACIÓN</t>
  </si>
  <si>
    <t>METODOLOGÍA QUE SE UTILIZÓ:</t>
  </si>
  <si>
    <t>DE CONFORMIDAD A LOS ARTICULOS 13, 57 Y DEMAS APLICABLES DE LA LEY DE COMPRAS GUBERNAMENTALES, ENAJENACIONES Y CONTRATACIÓN DE SERVICIOS DEL ESTADO DE JALISCO Y SUS MUNICIPIOS, ASI COMO EL ARTICULO 57 DE SU REGLAMENTO Y DEMAS CONCURRENTES, SE LLEVO A CABO LA INVESTIGACION DE MERCADO COMO LO MARCA LA MENCIONADA LEY, POR LO QUE NOS HACEMOS RESPONSABLES DE LA VERACIDAD DE LAS MANIFESTACIONES AQUI PLASMADAS, CON EL CONOCIMIENTO DE LAS CONSECUENCIAS PENALES Y ADMINISTRATIVAS QUE IMPLICARIA LA FALSEDAD DE LA INFORMACION EN LAS MISMAS.</t>
  </si>
  <si>
    <t>SE BUSCARON BIENES Y/O SERVICIOS QUE PUDIERAN SUSTITUIR LO REQUERIDO, ASÍ COMO PROCESOS ALTERNATIVOS DE COMPRA TALES COMO RENTA, NO ENCONTRANDO MEJORES CONDICIONES PARA LO SOLICITADO.</t>
  </si>
  <si>
    <t>V</t>
  </si>
  <si>
    <t>POR ÚLTIMO HAGO CONSTAR QUE EN NUESTROS ARCHIVOS SE RESGUARDA LA INFORMACIÓN DE LA METODOLOGÍA QUE DIO ORIGEN AL PRESENTE ESTUDIO.</t>
  </si>
  <si>
    <t>QUE EN ÉSTA INVESTIGACIÓN SE MUESTRA EL PRECIO MAXIMO Y MINIMO DE REFERNCIA, ASI COMO LA MEDIA DE LAS TRES COTIZACIONES OBTENIDAS, SIN QUE HUBIERAN CAMBIADO LAS CONDICIONES DEL MERCADO A LA FECHA DE ENTREGA DE LA MISMA.</t>
  </si>
  <si>
    <t>3 COTIZACIONES DE LOS PROVEEDORES ENUNCIADOS ANTERIORMENTE, CON VIGENCIA DE NO MAS DE 60 DIAS (APARTADO 3 BIS, ARTÍCULO 13 DE LA LEY EN LA MATERIA)</t>
  </si>
  <si>
    <t>Analísis Comparativo de Servicios con Caracterísitcas Especificas con Proveedores Potenciales</t>
  </si>
  <si>
    <t>PRECIO UNITARIO (ANTES DE IVA)</t>
  </si>
  <si>
    <t>IMPORTE TOTAL (ANTES DE IVA)</t>
  </si>
  <si>
    <t>IMPORTE TOTAL 
(ANTES DE IVA)</t>
  </si>
  <si>
    <t>I.V.A</t>
  </si>
  <si>
    <t>SE VERIFICÓ QUE EXISTE LA OFERTA DE LOS BIENES, EN CALIDAD, CANTIDAD Y OPORTUNIDAD REQUERIDAS EN LA SOLICITUD DE APROVISIONAMIENTO MENCIONADA.</t>
  </si>
  <si>
    <t>ANTIGUO HOSPITAL CIVIL DE GUADALAJARA FRAY ANTONIO ALCALDE</t>
  </si>
  <si>
    <t>NUMERO DE SOLICITUD / OFICIO:</t>
  </si>
  <si>
    <t>NOMBRE DEL PROVEEDOR</t>
  </si>
  <si>
    <t>COTIZACION 1</t>
  </si>
  <si>
    <t>COTIZACION 2</t>
  </si>
  <si>
    <t>COTIZACION 3</t>
  </si>
  <si>
    <t>Reglamento de la Ley de Compras Gubernamentales, Enajenaciones y Contratación de Servicios del Estado de Jalisco y Municipios.-  Artículo 57. Fracc. I (Bienes), II (Servicios) Para la elaboración de la investigación de mercado, las cotizaciones que se recaben deberán contener la siguiente información:</t>
  </si>
  <si>
    <t>INFORMACION SOLICITADA</t>
  </si>
  <si>
    <t>a) Descripción general;</t>
  </si>
  <si>
    <t>NO</t>
  </si>
  <si>
    <t>b) Marca y modelo;</t>
  </si>
  <si>
    <t>c) Precio unitario;</t>
  </si>
  <si>
    <t>d) Número de unidades cotizadas;</t>
  </si>
  <si>
    <t>e) Tiempo de entrega;</t>
  </si>
  <si>
    <t>f) Garantía de calidad del producto;</t>
  </si>
  <si>
    <t>g) De ser posible, el promedio de número de bienes con los que comúnmente se cuenta en stock, y frecuencia con la que los mismos son suministrados;</t>
  </si>
  <si>
    <t xml:space="preserve">h) Número de registro de proveedor o contratista, en caso de que éste se encuentre registrado ante el RUPC; </t>
  </si>
  <si>
    <t>i) Nombre y domicilio de la persona consultada, así como número de teléfono y correo electrónico, en caso de contar con alguno de ellos.</t>
  </si>
  <si>
    <t>SI</t>
  </si>
  <si>
    <t>j) Periodo durante el cual se prestará el servicio;</t>
  </si>
  <si>
    <t>k) Intervalos en los que se prestará el servicio;</t>
  </si>
  <si>
    <t>l) Número de personas requeridas para llevarse a cabo;</t>
  </si>
  <si>
    <t>m) Precio por elemento o persona que el consultado pretenda asignar para prestar el servicio, cuando por la naturaleza del servicio cotizado así se requiera;</t>
  </si>
  <si>
    <t>n) Entregables;</t>
  </si>
  <si>
    <t>ñ) Marca de insumos o materiales que el consultado utilizaría para el servicio cotizado;</t>
  </si>
  <si>
    <t>o) Precio total.</t>
  </si>
  <si>
    <t>Validación de la Dirección General de Innovación, Tecnología y Seguridad de la Información.</t>
  </si>
  <si>
    <t>N/A</t>
  </si>
  <si>
    <t>ANEXO TECNICO</t>
  </si>
  <si>
    <t xml:space="preserve">PRECIO DE ADQUISICION </t>
  </si>
  <si>
    <t>Artículo 13 del apartado 1, Fracción IV  de la Ley de Compras Gubernamentales, Enajenaciones y Contratación de Servicios del Estado de Jalisco y sus Municipios</t>
  </si>
  <si>
    <t>SUBTOTAL</t>
  </si>
  <si>
    <t>NUMERO PADRON DE PROVEEDORES HCG</t>
  </si>
  <si>
    <t>RUD: 2010226</t>
  </si>
  <si>
    <t>NOMBRE: MIRIAM ELENA PEREZ GRAJEDA</t>
  </si>
  <si>
    <t xml:space="preserve">  HOSPITAL CIVIL DE GUADALAJARA </t>
  </si>
  <si>
    <t xml:space="preserve">  ANTIGUO HOSPITAL CIVIL DE GUADALAJARA "FRAY ANTONIO ALCALDE"</t>
  </si>
  <si>
    <t xml:space="preserve">  DEPARTAMENTO DE RECURSOS FINANCIEROS   </t>
  </si>
  <si>
    <t>Validación fechas</t>
  </si>
  <si>
    <t>a</t>
  </si>
  <si>
    <t>PAQUETE</t>
  </si>
  <si>
    <t>r</t>
  </si>
  <si>
    <t>Factura No.</t>
  </si>
  <si>
    <t>XML</t>
  </si>
  <si>
    <t>Oficio y/o solicitud</t>
  </si>
  <si>
    <t>Negativa</t>
  </si>
  <si>
    <t>Cotización 1</t>
  </si>
  <si>
    <t>Cotización 2</t>
  </si>
  <si>
    <t>Cotización 3</t>
  </si>
  <si>
    <t>Cuadro Comparativo, Resumen Técnico</t>
  </si>
  <si>
    <t>Solicitud de Adquisición y/o Contratación (SUPRE)</t>
  </si>
  <si>
    <t>Factura</t>
  </si>
  <si>
    <t>Reviso</t>
  </si>
  <si>
    <t>Requisito</t>
  </si>
  <si>
    <t>Descripción</t>
  </si>
  <si>
    <t>Deberán ser CFDI</t>
  </si>
  <si>
    <t>Sus impresiones no deberán contener tachaduras, borraduras, enmendaduras ni alteraciones de ningún tipo.</t>
  </si>
  <si>
    <t>Deberán expedirse a favor de:</t>
  </si>
  <si>
    <t>OPD HOSPITAL CIVIL DE GUADALAJARA               RFC. OPD9704109Y3</t>
  </si>
  <si>
    <t>DOMICILIO FISCAL: CORONEL CALDERON No. 777,COLONIA EL RETIRO, GUADALAJARA JALISCO C.P. 44280</t>
  </si>
  <si>
    <t>Los requisitos que deben reunir los CFDI establecidos en el artículo 29 del Código Fiscal de la Federación son:</t>
  </si>
  <si>
    <t xml:space="preserve">I.- Clave el Registro Federal de Contribuyentes de quien los expida. </t>
  </si>
  <si>
    <t>II Régimen Fiscal en que tributen conforme a la Ley del ISR.</t>
  </si>
  <si>
    <t>III.- Si se tiene más de un local o establecimiento, se deberá señalar el domicilio del local o establecimiento en que se expidan CFDI.</t>
  </si>
  <si>
    <t>IV.- Contener el No. de folio.</t>
  </si>
  <si>
    <t>V.- Sello Digital del contribuyente que lo expide. VI.- Lugar y fecha de expedición.</t>
  </si>
  <si>
    <t>VI.- Clave del Registro Federal de Contribuyentes de la Persona a favor de quien se expida.</t>
  </si>
  <si>
    <t>VII: Cantidad, unidad de medida y clase de los bienes, mercancías o descripción del servicio o del uso o goce que amparen.</t>
  </si>
  <si>
    <t>VIII.- Valor unitario consignado en número.</t>
  </si>
  <si>
    <t>IX.- Importe total señalado en número o en letra.</t>
  </si>
  <si>
    <t>X. Señalamiento expreso cuando la contraprestación se pague en una sola exhibición o en parcialidades.</t>
  </si>
  <si>
    <t>XI.- Cuando proceda, se indicará el monto de los impuestos trasladados desglosados por tasa de impuesto y en su caso el monto de los impuestos retenidos.</t>
  </si>
  <si>
    <t>XII.- Forma en que se realizó el pago (efectivo, transferencia electrónica de fondos, cheque nominativo o tarjeta de débito, de crédito, de servicio o la denominada monedero electrónico, indicando al menos los últimos cuatro dígitos del número de cuenta de la tarjeta correspondiente).</t>
  </si>
  <si>
    <t>Adicionalmente debe de contener los siguientes datos establecidos en el anexo 20 de la Resolución Miscelánea Fiscal:</t>
  </si>
  <si>
    <t>a) Versión del esquema del CFDI.</t>
  </si>
  <si>
    <t>b) Número de serie del certificado digital con el que se generó el sello de la CFDI, expresado a 20 posiciones.</t>
  </si>
  <si>
    <t>c) Certificado de sello digital que ampara al CFDI como texto en formato base.</t>
  </si>
  <si>
    <t>d) Número y año de la aprobación de los folios.</t>
  </si>
  <si>
    <t>e) En adición a la fracción VI arriba señalada, la hora de expedición. </t>
  </si>
  <si>
    <t>Asimismo, se debe cumplir las especificaciones Técnicas establecidas en la Resolución Miscelánea Fiscal.</t>
  </si>
  <si>
    <t>1. Utilizar el estándar del CFDI (XML).</t>
  </si>
  <si>
    <t>2. Contemplar las reglas para la generación del sello digital de los CFDI.</t>
  </si>
  <si>
    <t>Documentos adicionales como comprobantes:</t>
  </si>
  <si>
    <t>●      Ticket: En el caso de que el emisor utilice máquina registradora de comprobación fiscal</t>
  </si>
  <si>
    <t>Deberá contener impresos los siguientes datos de quien los expide:</t>
  </si>
  <si>
    <t>●      Copia de la Nota de Venta.</t>
  </si>
  <si>
    <t>●      Nombre</t>
  </si>
  <si>
    <t>●      Clave del Registro Federal de Contribuyentes</t>
  </si>
  <si>
    <t>●      Domicilio Fiscal</t>
  </si>
  <si>
    <t>●      Número de Folio</t>
  </si>
  <si>
    <t>●      Lugar y fecha de expedición</t>
  </si>
  <si>
    <t>●      Importe total de la operación en número o en letra.</t>
  </si>
  <si>
    <t>La validez de los comprobantes fiscales IMPRESOS:</t>
  </si>
  <si>
    <t>Deberá verificarse por internet en el portal del SAT.</t>
  </si>
  <si>
    <t>Complemento de Pago</t>
  </si>
  <si>
    <t>Deberá anexarse el xml de complemento de pago, enviado por el proveedor al ser efectivo el pago por la adquisición de bienes o servicios al OPD Hospital Civil de Guadalajara.</t>
  </si>
  <si>
    <t>Ratificación bancaria</t>
  </si>
  <si>
    <t>Notificacion CGA o CGSG (correos)</t>
  </si>
  <si>
    <t>Pedido</t>
  </si>
  <si>
    <t>R.B. ó R.S.</t>
  </si>
  <si>
    <t>Padrón proveedores</t>
  </si>
  <si>
    <t>Validación CFDI</t>
  </si>
  <si>
    <r>
      <t> </t>
    </r>
    <r>
      <rPr>
        <b/>
        <sz val="8"/>
        <color rgb="FF000000"/>
        <rFont val="Arial Narrow"/>
        <family val="2"/>
      </rPr>
      <t>No.</t>
    </r>
  </si>
  <si>
    <t>Vigente                                      26/04/21</t>
  </si>
  <si>
    <t>TOTAL</t>
  </si>
  <si>
    <t xml:space="preserve">NOMBRE: </t>
  </si>
  <si>
    <t xml:space="preserve">RUD: </t>
  </si>
  <si>
    <t>Nombre:</t>
  </si>
  <si>
    <t>OBSTETRICIA</t>
  </si>
  <si>
    <t>DAHCGFAA/280/2026</t>
  </si>
  <si>
    <t>DOLORES MAGDALENA ROSALES ROJAS</t>
  </si>
  <si>
    <t>PUERTO MULEGE #175, MONUMENTAL, DEL GUADALAJARA, GUADALAJARA JALISCO C.P.   44320</t>
  </si>
  <si>
    <t>33-14-11-51-17</t>
  </si>
  <si>
    <t>RORD830608JB8</t>
  </si>
  <si>
    <t>doloresmagdalenarosalesrojas1@gmail.com</t>
  </si>
  <si>
    <t>5 DIAS NATURALES</t>
  </si>
  <si>
    <t>30 DIAS SUJETO A CREDITO</t>
  </si>
  <si>
    <t>P21221</t>
  </si>
  <si>
    <t>PIEZA</t>
  </si>
  <si>
    <t xml:space="preserve">DISTRIBUIDORA DE FARMACOS Y FRAGANCIAS S.A. DE C.V. </t>
  </si>
  <si>
    <t>FIDEL ALBERTO PENICHE VALDES</t>
  </si>
  <si>
    <t>AVENIDA LAGUNA DE LAS ILUSIONES #99 LOCAL F VILLA HERMOSA, TABASCO C.P. 86019</t>
  </si>
  <si>
    <t>33-36-50-50-17</t>
  </si>
  <si>
    <t>DFFF000601IQ0</t>
  </si>
  <si>
    <t>ana.gonzalez@difasa.com.mx</t>
  </si>
  <si>
    <t>-</t>
  </si>
  <si>
    <t>DIPROGYN</t>
  </si>
  <si>
    <t>JOSE REYES</t>
  </si>
  <si>
    <t>PUERTO ALTATA 42, MONUMENTAL GUADALAJARA, JALISCO C.P. 44320</t>
  </si>
  <si>
    <t>DIP210309C69</t>
  </si>
  <si>
    <t>contacto@diprogy.com</t>
  </si>
  <si>
    <t>5 DIAS HABILES</t>
  </si>
  <si>
    <t>010.000.3510.00 ETONOGESTREL. IMPLANTE EL IMPLANTE CONTIENE: ETONOGESTREL 68.0 MG ENVASE CON UN IMPLANTE Y APLICADOR.</t>
  </si>
  <si>
    <t>2531549039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</si>
</sst>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6" formatCode="_-&quot;$&quot;* #,##0.00_-;\-&quot;$&quot;* #,##0.00_-;_-&quot;$&quot;* &quot;-&quot;??_-;_-@_-"/>
  </numFmts>
  <fonts count="50" x14ac:knownFonts="1">
    <font>
      <sz val="11"/>
      <color rgb="FF000000"/>
      <name val="Calibri"/>
    </font>
    <font>
      <sz val="11"/>
      <color theme="1"/>
      <name val="Calibri"/>
      <family val="2"/>
      <scheme val="minor"/>
    </font>
    <font>
      <sz val="11"/>
      <color theme="1"/>
      <name val="Calibri"/>
      <family val="2"/>
      <scheme val="minor"/>
    </font>
    <font>
      <sz val="10"/>
      <color rgb="FF000000"/>
      <name val="Calibri"/>
      <family val="2"/>
    </font>
    <font>
      <sz val="11"/>
      <name val="Calibri"/>
      <family val="2"/>
    </font>
    <font>
      <b/>
      <sz val="10"/>
      <color rgb="FF000000"/>
      <name val="Calibri"/>
      <family val="2"/>
    </font>
    <font>
      <b/>
      <sz val="8"/>
      <name val="Calibri"/>
      <family val="2"/>
    </font>
    <font>
      <b/>
      <sz val="10"/>
      <name val="Calibri"/>
      <family val="2"/>
    </font>
    <font>
      <sz val="10"/>
      <color rgb="FFA5A5A5"/>
      <name val="Calibri"/>
      <family val="2"/>
    </font>
    <font>
      <b/>
      <sz val="10"/>
      <color rgb="FF000000"/>
      <name val="Calibri"/>
      <family val="2"/>
    </font>
    <font>
      <b/>
      <sz val="11"/>
      <name val="Calibri"/>
      <family val="2"/>
    </font>
    <font>
      <sz val="11"/>
      <color rgb="FF000000"/>
      <name val="Calibri"/>
      <family val="2"/>
    </font>
    <font>
      <b/>
      <sz val="10"/>
      <name val="Calibri"/>
      <family val="2"/>
    </font>
    <font>
      <sz val="14"/>
      <color rgb="FF000000"/>
      <name val="Arial Black"/>
      <family val="2"/>
    </font>
    <font>
      <sz val="10"/>
      <color rgb="FF000000"/>
      <name val="Arial Black"/>
      <family val="2"/>
    </font>
    <font>
      <sz val="8"/>
      <color rgb="FF000000"/>
      <name val="Calibri"/>
      <family val="2"/>
    </font>
    <font>
      <b/>
      <sz val="9"/>
      <color rgb="FF000000"/>
      <name val="Calibri"/>
      <family val="2"/>
    </font>
    <font>
      <sz val="9"/>
      <color rgb="FF000000"/>
      <name val="Calibri"/>
      <family val="2"/>
    </font>
    <font>
      <sz val="9"/>
      <name val="Calibri"/>
      <family val="2"/>
    </font>
    <font>
      <b/>
      <sz val="9"/>
      <name val="Calibri"/>
      <family val="2"/>
    </font>
    <font>
      <b/>
      <sz val="11"/>
      <color rgb="FF000000"/>
      <name val="Calibri"/>
      <family val="2"/>
    </font>
    <font>
      <u/>
      <sz val="11"/>
      <color theme="10"/>
      <name val="Calibri"/>
      <family val="2"/>
    </font>
    <font>
      <b/>
      <sz val="8"/>
      <color rgb="FF000000"/>
      <name val="Calibri"/>
      <family val="2"/>
    </font>
    <font>
      <sz val="10"/>
      <name val="Arial"/>
      <family val="2"/>
    </font>
    <font>
      <b/>
      <sz val="9"/>
      <name val="Calibri"/>
      <family val="2"/>
      <scheme val="minor"/>
    </font>
    <font>
      <sz val="9"/>
      <name val="Calibri"/>
      <family val="2"/>
      <scheme val="minor"/>
    </font>
    <font>
      <b/>
      <sz val="14"/>
      <color rgb="FF000000"/>
      <name val="Calibri"/>
      <family val="2"/>
    </font>
    <font>
      <sz val="11"/>
      <color rgb="FF000000"/>
      <name val="Calibri"/>
      <family val="2"/>
    </font>
    <font>
      <sz val="11"/>
      <color rgb="FF000000"/>
      <name val="Calibri"/>
      <family val="2"/>
    </font>
    <font>
      <b/>
      <sz val="11"/>
      <color theme="1"/>
      <name val="Calibri"/>
      <family val="2"/>
      <scheme val="minor"/>
    </font>
    <font>
      <b/>
      <sz val="12"/>
      <color theme="1"/>
      <name val="Calibri"/>
      <family val="2"/>
      <scheme val="minor"/>
    </font>
    <font>
      <b/>
      <sz val="14"/>
      <color theme="1"/>
      <name val="Calibri"/>
      <family val="2"/>
      <scheme val="minor"/>
    </font>
    <font>
      <sz val="12"/>
      <name val="Cambria"/>
      <family val="1"/>
    </font>
    <font>
      <sz val="10"/>
      <name val="Arial Rounded MT Bold"/>
      <family val="2"/>
    </font>
    <font>
      <sz val="10"/>
      <name val="Candara"/>
      <family val="2"/>
    </font>
    <font>
      <sz val="16"/>
      <name val="Candara"/>
      <family val="2"/>
    </font>
    <font>
      <sz val="14"/>
      <color theme="1"/>
      <name val="Webdings"/>
      <family val="1"/>
      <charset val="2"/>
    </font>
    <font>
      <sz val="11"/>
      <color theme="1"/>
      <name val="Webdings"/>
      <family val="1"/>
      <charset val="2"/>
    </font>
    <font>
      <b/>
      <sz val="14"/>
      <color rgb="FFFF0000"/>
      <name val="Calibri"/>
      <family val="2"/>
      <scheme val="minor"/>
    </font>
    <font>
      <sz val="16"/>
      <name val="Cambria"/>
      <family val="1"/>
    </font>
    <font>
      <sz val="12"/>
      <name val="Arial Rounded MT Bold"/>
      <family val="2"/>
    </font>
    <font>
      <sz val="12"/>
      <name val="Candara"/>
      <family val="2"/>
    </font>
    <font>
      <b/>
      <sz val="8"/>
      <color rgb="FF000000"/>
      <name val="Arial Narrow"/>
      <family val="2"/>
    </font>
    <font>
      <sz val="8"/>
      <color rgb="FF000000"/>
      <name val="Arial Narrow"/>
      <family val="2"/>
    </font>
    <font>
      <b/>
      <sz val="10"/>
      <color rgb="FF000000"/>
      <name val="Arial"/>
      <family val="2"/>
    </font>
    <font>
      <sz val="9"/>
      <color rgb="FF000000"/>
      <name val="Calibri"/>
      <family val="2"/>
      <scheme val="minor"/>
    </font>
    <font>
      <b/>
      <sz val="9"/>
      <color rgb="FF000000"/>
      <name val="Calibri"/>
      <family val="2"/>
      <scheme val="minor"/>
    </font>
    <font>
      <u/>
      <sz val="9"/>
      <color theme="10"/>
      <name val="Calibri"/>
      <family val="2"/>
      <scheme val="minor"/>
    </font>
    <font>
      <sz val="10"/>
      <color theme="1"/>
      <name val="Aptos Narrow"/>
      <family val="2"/>
    </font>
    <font>
      <sz val="10"/>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theme="3" tint="0.59999389629810485"/>
        <bgColor indexed="64"/>
      </patternFill>
    </fill>
    <fill>
      <patternFill patternType="solid">
        <fgColor theme="0" tint="-0.34998626667073579"/>
        <bgColor indexed="64"/>
      </patternFill>
    </fill>
    <fill>
      <patternFill patternType="solid">
        <fgColor theme="0" tint="-0.34998626667073579"/>
        <bgColor rgb="FFF2F2F2"/>
      </patternFill>
    </fill>
    <fill>
      <patternFill patternType="solid">
        <fgColor rgb="FFFFFF00"/>
        <bgColor indexed="64"/>
      </patternFill>
    </fill>
    <fill>
      <patternFill patternType="solid">
        <fgColor theme="0" tint="-0.14999847407452621"/>
        <bgColor indexed="64"/>
      </patternFill>
    </fill>
    <fill>
      <patternFill patternType="solid">
        <fgColor theme="0" tint="-0.14999847407452621"/>
        <bgColor rgb="FFF2F2F2"/>
      </patternFill>
    </fill>
    <fill>
      <patternFill patternType="solid">
        <fgColor theme="0" tint="-0.14999847407452621"/>
        <bgColor rgb="FFD8D8D8"/>
      </patternFill>
    </fill>
    <fill>
      <patternFill patternType="solid">
        <fgColor theme="4" tint="0.59999389629810485"/>
        <bgColor indexed="64"/>
      </patternFill>
    </fill>
    <fill>
      <patternFill patternType="solid">
        <fgColor theme="4" tint="0.59999389629810485"/>
        <bgColor rgb="FFF2F2F2"/>
      </patternFill>
    </fill>
  </fills>
  <borders count="43">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rgb="FF000000"/>
      </right>
      <top style="thin">
        <color indexed="64"/>
      </top>
      <bottom style="thin">
        <color indexed="64"/>
      </bottom>
      <diagonal/>
    </border>
    <border>
      <left style="thin">
        <color rgb="FF000000"/>
      </left>
      <right/>
      <top style="thin">
        <color indexed="64"/>
      </top>
      <bottom/>
      <diagonal/>
    </border>
    <border>
      <left/>
      <right/>
      <top style="thin">
        <color indexed="64"/>
      </top>
      <bottom style="thin">
        <color indexed="64"/>
      </bottom>
      <diagonal/>
    </border>
    <border>
      <left/>
      <right style="thin">
        <color rgb="FF000000"/>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ck">
        <color auto="1"/>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diagonalUp="1">
      <left style="thin">
        <color indexed="64"/>
      </left>
      <right style="medium">
        <color indexed="64"/>
      </right>
      <top style="thin">
        <color indexed="64"/>
      </top>
      <bottom style="thin">
        <color indexed="64"/>
      </bottom>
      <diagonal style="thick">
        <color auto="1"/>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55">
    <xf numFmtId="0" fontId="0" fillId="0" borderId="0"/>
    <xf numFmtId="0" fontId="21" fillId="0" borderId="0" applyNumberFormat="0" applyFill="0" applyBorder="0" applyAlignment="0" applyProtection="0"/>
    <xf numFmtId="0" fontId="23" fillId="0" borderId="1"/>
    <xf numFmtId="44" fontId="23" fillId="0" borderId="1" applyFont="0" applyFill="0" applyBorder="0" applyAlignment="0" applyProtection="0"/>
    <xf numFmtId="0" fontId="27" fillId="0" borderId="1"/>
    <xf numFmtId="0" fontId="21" fillId="0" borderId="1" applyNumberFormat="0" applyFill="0" applyBorder="0" applyAlignment="0" applyProtection="0"/>
    <xf numFmtId="0" fontId="27" fillId="0" borderId="1"/>
    <xf numFmtId="0" fontId="27" fillId="0" borderId="1"/>
    <xf numFmtId="0" fontId="11" fillId="0" borderId="1"/>
    <xf numFmtId="0" fontId="27" fillId="0" borderId="1"/>
    <xf numFmtId="0" fontId="27" fillId="0" borderId="1"/>
    <xf numFmtId="0" fontId="28" fillId="0" borderId="1"/>
    <xf numFmtId="44" fontId="23" fillId="0" borderId="1" applyFont="0" applyFill="0" applyBorder="0" applyAlignment="0" applyProtection="0"/>
    <xf numFmtId="0" fontId="11" fillId="0" borderId="1"/>
    <xf numFmtId="0" fontId="11" fillId="0" borderId="1"/>
    <xf numFmtId="0" fontId="11" fillId="0" borderId="1"/>
    <xf numFmtId="0" fontId="11" fillId="0" borderId="1"/>
    <xf numFmtId="44" fontId="23" fillId="0" borderId="1" applyFont="0" applyFill="0" applyBorder="0" applyAlignment="0" applyProtection="0"/>
    <xf numFmtId="0" fontId="11" fillId="0" borderId="1"/>
    <xf numFmtId="0" fontId="11" fillId="0" borderId="1"/>
    <xf numFmtId="0" fontId="11" fillId="0" borderId="1"/>
    <xf numFmtId="0" fontId="11" fillId="0" borderId="1"/>
    <xf numFmtId="0" fontId="28" fillId="0" borderId="1"/>
    <xf numFmtId="44" fontId="23" fillId="0" borderId="1" applyFont="0" applyFill="0" applyBorder="0" applyAlignment="0" applyProtection="0"/>
    <xf numFmtId="0" fontId="11" fillId="0" borderId="1"/>
    <xf numFmtId="44" fontId="23" fillId="0" borderId="1" applyFont="0" applyFill="0" applyBorder="0" applyAlignment="0" applyProtection="0"/>
    <xf numFmtId="44" fontId="23" fillId="0" borderId="1" applyFont="0" applyFill="0" applyBorder="0" applyAlignment="0" applyProtection="0"/>
    <xf numFmtId="0" fontId="11" fillId="0" borderId="1"/>
    <xf numFmtId="44" fontId="23" fillId="0" borderId="1" applyFont="0" applyFill="0" applyBorder="0" applyAlignment="0" applyProtection="0"/>
    <xf numFmtId="0" fontId="11" fillId="0" borderId="1"/>
    <xf numFmtId="44" fontId="23" fillId="0" borderId="1" applyFont="0" applyFill="0" applyBorder="0" applyAlignment="0" applyProtection="0"/>
    <xf numFmtId="44" fontId="23" fillId="0" borderId="1" applyFont="0" applyFill="0" applyBorder="0" applyAlignment="0" applyProtection="0"/>
    <xf numFmtId="0" fontId="11" fillId="0" borderId="1"/>
    <xf numFmtId="44" fontId="23" fillId="0" borderId="1" applyFont="0" applyFill="0" applyBorder="0" applyAlignment="0" applyProtection="0"/>
    <xf numFmtId="44" fontId="23" fillId="0" borderId="1" applyFont="0" applyFill="0" applyBorder="0" applyAlignment="0" applyProtection="0"/>
    <xf numFmtId="44" fontId="23" fillId="0" borderId="1" applyFont="0" applyFill="0" applyBorder="0" applyAlignment="0" applyProtection="0"/>
    <xf numFmtId="0" fontId="2" fillId="0" borderId="1"/>
    <xf numFmtId="0" fontId="23" fillId="0" borderId="1"/>
    <xf numFmtId="0" fontId="2" fillId="0" borderId="1"/>
    <xf numFmtId="0" fontId="2" fillId="0" borderId="1"/>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166" fontId="23" fillId="0" borderId="1" applyFont="0" applyFill="0" applyBorder="0" applyAlignment="0" applyProtection="0"/>
    <xf numFmtId="0" fontId="1" fillId="0" borderId="1"/>
    <xf numFmtId="0" fontId="1" fillId="0" borderId="1"/>
    <xf numFmtId="0" fontId="1" fillId="0" borderId="1"/>
  </cellStyleXfs>
  <cellXfs count="226">
    <xf numFmtId="0" fontId="0" fillId="0" borderId="0" xfId="0"/>
    <xf numFmtId="0" fontId="3" fillId="0" borderId="0" xfId="0" applyFont="1"/>
    <xf numFmtId="0" fontId="3" fillId="2" borderId="1" xfId="0" applyFont="1" applyFill="1" applyBorder="1"/>
    <xf numFmtId="15" fontId="5" fillId="0" borderId="1" xfId="0" applyNumberFormat="1" applyFont="1" applyBorder="1" applyAlignment="1">
      <alignment horizontal="center" vertical="center"/>
    </xf>
    <xf numFmtId="14" fontId="6" fillId="2" borderId="1" xfId="0" applyNumberFormat="1" applyFont="1" applyFill="1" applyBorder="1" applyAlignment="1">
      <alignment horizontal="center" vertical="center"/>
    </xf>
    <xf numFmtId="0" fontId="14" fillId="0" borderId="9" xfId="0" applyFont="1" applyBorder="1" applyAlignment="1">
      <alignment horizontal="center"/>
    </xf>
    <xf numFmtId="0" fontId="9" fillId="0" borderId="5" xfId="0" applyFont="1" applyBorder="1" applyAlignment="1">
      <alignment horizontal="center" vertical="center"/>
    </xf>
    <xf numFmtId="0" fontId="10" fillId="0" borderId="5" xfId="0" applyFont="1" applyBorder="1" applyAlignment="1">
      <alignment horizontal="center" vertical="center"/>
    </xf>
    <xf numFmtId="15" fontId="9" fillId="0" borderId="1" xfId="0" applyNumberFormat="1" applyFont="1" applyBorder="1" applyAlignment="1">
      <alignment horizontal="right" vertical="center"/>
    </xf>
    <xf numFmtId="0" fontId="15" fillId="0" borderId="0" xfId="0" applyFont="1"/>
    <xf numFmtId="0" fontId="16" fillId="0" borderId="1" xfId="0" applyFont="1" applyBorder="1" applyAlignment="1">
      <alignment horizontal="center" vertical="center"/>
    </xf>
    <xf numFmtId="0" fontId="26" fillId="0" borderId="1" xfId="0" applyFont="1" applyBorder="1" applyAlignment="1">
      <alignment vertical="center"/>
    </xf>
    <xf numFmtId="0" fontId="11" fillId="0" borderId="0" xfId="0" applyFont="1"/>
    <xf numFmtId="1" fontId="0" fillId="0" borderId="0" xfId="0" applyNumberFormat="1"/>
    <xf numFmtId="0" fontId="2" fillId="0" borderId="1" xfId="36"/>
    <xf numFmtId="0" fontId="30" fillId="0" borderId="1" xfId="36" applyFont="1"/>
    <xf numFmtId="0" fontId="31" fillId="0" borderId="1" xfId="36" applyFont="1" applyAlignment="1">
      <alignment horizontal="center"/>
    </xf>
    <xf numFmtId="0" fontId="32" fillId="0" borderId="1" xfId="37" applyFont="1" applyAlignment="1">
      <alignment vertical="top" wrapText="1"/>
    </xf>
    <xf numFmtId="0" fontId="33" fillId="0" borderId="1" xfId="37" applyFont="1" applyAlignment="1">
      <alignment vertical="top" wrapText="1"/>
    </xf>
    <xf numFmtId="0" fontId="34" fillId="0" borderId="23" xfId="38" applyFont="1" applyBorder="1"/>
    <xf numFmtId="0" fontId="35" fillId="0" borderId="1" xfId="38" applyFont="1"/>
    <xf numFmtId="0" fontId="35" fillId="0" borderId="1" xfId="38" applyFont="1" applyAlignment="1">
      <alignment horizontal="center"/>
    </xf>
    <xf numFmtId="0" fontId="34" fillId="0" borderId="1" xfId="38" applyFont="1"/>
    <xf numFmtId="0" fontId="30" fillId="0" borderId="25" xfId="36" applyFont="1" applyBorder="1" applyAlignment="1">
      <alignment horizontal="center"/>
    </xf>
    <xf numFmtId="0" fontId="36" fillId="0" borderId="26" xfId="39" applyFont="1" applyBorder="1" applyAlignment="1" applyProtection="1">
      <alignment horizontal="center" vertical="center"/>
      <protection locked="0"/>
    </xf>
    <xf numFmtId="0" fontId="30" fillId="0" borderId="1" xfId="36" applyFont="1" applyAlignment="1">
      <alignment horizontal="center"/>
    </xf>
    <xf numFmtId="0" fontId="37" fillId="0" borderId="26" xfId="39" applyFont="1" applyBorder="1" applyAlignment="1" applyProtection="1">
      <alignment horizontal="center" vertical="center"/>
      <protection locked="0"/>
    </xf>
    <xf numFmtId="0" fontId="30" fillId="0" borderId="27" xfId="36" applyFont="1" applyBorder="1"/>
    <xf numFmtId="0" fontId="30" fillId="0" borderId="29" xfId="36" applyFont="1" applyBorder="1"/>
    <xf numFmtId="0" fontId="30" fillId="0" borderId="30" xfId="36" applyFont="1" applyBorder="1" applyAlignment="1">
      <alignment horizontal="left"/>
    </xf>
    <xf numFmtId="0" fontId="30" fillId="0" borderId="27" xfId="36" applyFont="1" applyBorder="1" applyAlignment="1">
      <alignment horizontal="justify" vertical="center" wrapText="1"/>
    </xf>
    <xf numFmtId="14" fontId="30" fillId="0" borderId="28" xfId="36" applyNumberFormat="1" applyFont="1" applyBorder="1" applyAlignment="1">
      <alignment horizontal="center" vertical="center"/>
    </xf>
    <xf numFmtId="0" fontId="30" fillId="0" borderId="29" xfId="36" applyFont="1" applyBorder="1" applyAlignment="1">
      <alignment horizontal="justify"/>
    </xf>
    <xf numFmtId="14" fontId="30" fillId="0" borderId="26" xfId="36" applyNumberFormat="1" applyFont="1" applyBorder="1" applyAlignment="1">
      <alignment horizontal="center" vertical="center"/>
    </xf>
    <xf numFmtId="0" fontId="38" fillId="0" borderId="1" xfId="36" applyFont="1" applyAlignment="1">
      <alignment horizontal="center" vertical="center"/>
    </xf>
    <xf numFmtId="0" fontId="30" fillId="0" borderId="29" xfId="36" applyFont="1" applyBorder="1" applyAlignment="1">
      <alignment horizontal="left" vertical="center" wrapText="1"/>
    </xf>
    <xf numFmtId="14" fontId="38" fillId="0" borderId="1" xfId="36" applyNumberFormat="1" applyFont="1" applyAlignment="1">
      <alignment horizontal="center" vertical="center"/>
    </xf>
    <xf numFmtId="0" fontId="41" fillId="0" borderId="23" xfId="38" applyFont="1" applyBorder="1"/>
    <xf numFmtId="0" fontId="41" fillId="0" borderId="1" xfId="38" applyFont="1"/>
    <xf numFmtId="0" fontId="30" fillId="0" borderId="27" xfId="36" applyFont="1" applyBorder="1" applyAlignment="1">
      <alignment vertical="center"/>
    </xf>
    <xf numFmtId="0" fontId="30" fillId="0" borderId="30" xfId="36" applyFont="1" applyBorder="1" applyAlignment="1">
      <alignment horizontal="left" vertical="center"/>
    </xf>
    <xf numFmtId="0" fontId="30" fillId="0" borderId="31" xfId="36" applyFont="1" applyBorder="1" applyAlignment="1">
      <alignment horizontal="center" vertical="center"/>
    </xf>
    <xf numFmtId="0" fontId="42" fillId="0" borderId="34" xfId="36" applyFont="1" applyBorder="1" applyAlignment="1">
      <alignment horizontal="center" vertical="center" wrapText="1"/>
    </xf>
    <xf numFmtId="0" fontId="42" fillId="0" borderId="1" xfId="36" applyFont="1" applyAlignment="1">
      <alignment vertical="center" wrapText="1"/>
    </xf>
    <xf numFmtId="0" fontId="43" fillId="0" borderId="5" xfId="36" applyFont="1" applyBorder="1" applyAlignment="1">
      <alignment horizontal="justify" vertical="center" wrapText="1"/>
    </xf>
    <xf numFmtId="0" fontId="43" fillId="0" borderId="5" xfId="36" applyFont="1" applyBorder="1" applyAlignment="1">
      <alignment horizontal="justify" vertical="center"/>
    </xf>
    <xf numFmtId="14" fontId="29" fillId="0" borderId="26" xfId="36" applyNumberFormat="1" applyFont="1" applyBorder="1" applyAlignment="1">
      <alignment horizontal="center" vertical="center" wrapText="1"/>
    </xf>
    <xf numFmtId="0" fontId="43" fillId="0" borderId="36" xfId="36" applyFont="1" applyBorder="1" applyAlignment="1">
      <alignment horizontal="justify" vertical="center" wrapText="1"/>
    </xf>
    <xf numFmtId="0" fontId="43" fillId="0" borderId="1" xfId="36" applyFont="1" applyAlignment="1">
      <alignment horizontal="justify" vertical="center" wrapText="1"/>
    </xf>
    <xf numFmtId="0" fontId="43" fillId="0" borderId="1" xfId="36" applyFont="1" applyAlignment="1">
      <alignment horizontal="left" vertical="center" wrapText="1"/>
    </xf>
    <xf numFmtId="0" fontId="30" fillId="0" borderId="37" xfId="36" applyFont="1" applyBorder="1" applyAlignment="1">
      <alignment horizontal="center" wrapText="1"/>
    </xf>
    <xf numFmtId="49" fontId="30" fillId="0" borderId="28" xfId="36" applyNumberFormat="1" applyFont="1" applyBorder="1" applyAlignment="1">
      <alignment horizontal="center" vertical="center"/>
    </xf>
    <xf numFmtId="0" fontId="37" fillId="0" borderId="31" xfId="39" applyFont="1" applyBorder="1" applyAlignment="1" applyProtection="1">
      <alignment horizontal="center" vertical="center"/>
      <protection locked="0"/>
    </xf>
    <xf numFmtId="16" fontId="30" fillId="0" borderId="1" xfId="36" applyNumberFormat="1" applyFont="1"/>
    <xf numFmtId="0" fontId="2" fillId="0" borderId="1" xfId="36" applyAlignment="1">
      <alignment horizontal="right"/>
    </xf>
    <xf numFmtId="0" fontId="30" fillId="0" borderId="29" xfId="36" applyFont="1" applyBorder="1" applyAlignment="1">
      <alignment horizontal="justify" vertical="center" wrapText="1"/>
    </xf>
    <xf numFmtId="0" fontId="30" fillId="0" borderId="38" xfId="36" applyFont="1" applyBorder="1" applyAlignment="1">
      <alignment horizontal="justify"/>
    </xf>
    <xf numFmtId="0" fontId="30" fillId="0" borderId="39" xfId="36" applyFont="1" applyBorder="1" applyAlignment="1">
      <alignment horizontal="center" vertical="center"/>
    </xf>
    <xf numFmtId="0" fontId="30" fillId="0" borderId="28" xfId="36" applyFont="1" applyBorder="1" applyAlignment="1">
      <alignment horizontal="center" vertical="center"/>
    </xf>
    <xf numFmtId="0" fontId="44" fillId="0" borderId="27" xfId="36" applyFont="1" applyBorder="1" applyAlignment="1">
      <alignment horizontal="center" vertical="center" wrapText="1"/>
    </xf>
    <xf numFmtId="0" fontId="43" fillId="0" borderId="29" xfId="36" applyFont="1" applyBorder="1" applyAlignment="1">
      <alignment horizontal="center" vertical="center" wrapText="1"/>
    </xf>
    <xf numFmtId="0" fontId="2" fillId="6" borderId="1" xfId="36" applyFill="1"/>
    <xf numFmtId="0" fontId="29" fillId="0" borderId="26" xfId="36" applyFont="1" applyBorder="1" applyAlignment="1">
      <alignment horizontal="center" vertical="center" wrapText="1"/>
    </xf>
    <xf numFmtId="0" fontId="43" fillId="0" borderId="30" xfId="36" applyFont="1" applyBorder="1" applyAlignment="1">
      <alignment horizontal="center" vertical="center" wrapText="1"/>
    </xf>
    <xf numFmtId="0" fontId="43" fillId="0" borderId="1" xfId="36" applyFont="1" applyAlignment="1">
      <alignment horizontal="center" vertical="center" wrapText="1"/>
    </xf>
    <xf numFmtId="0" fontId="46" fillId="7" borderId="5" xfId="0" applyFont="1" applyFill="1" applyBorder="1" applyAlignment="1">
      <alignment horizontal="center" vertical="center" wrapText="1"/>
    </xf>
    <xf numFmtId="0" fontId="24" fillId="0" borderId="10" xfId="0" applyFont="1" applyBorder="1" applyAlignment="1">
      <alignment horizontal="center" vertical="center"/>
    </xf>
    <xf numFmtId="0" fontId="24" fillId="0" borderId="10" xfId="0" applyFont="1" applyBorder="1" applyAlignment="1">
      <alignment horizontal="center" vertical="center" wrapText="1"/>
    </xf>
    <xf numFmtId="8" fontId="24" fillId="0" borderId="10" xfId="0" applyNumberFormat="1" applyFont="1" applyBorder="1" applyAlignment="1">
      <alignment horizontal="center" vertical="center"/>
    </xf>
    <xf numFmtId="8" fontId="24" fillId="0" borderId="5" xfId="0" applyNumberFormat="1" applyFont="1" applyBorder="1" applyAlignment="1">
      <alignment horizontal="right" vertical="center"/>
    </xf>
    <xf numFmtId="8" fontId="46" fillId="0" borderId="5" xfId="0" applyNumberFormat="1" applyFont="1" applyBorder="1" applyAlignment="1">
      <alignment horizontal="right" vertical="center"/>
    </xf>
    <xf numFmtId="8" fontId="24" fillId="0" borderId="10" xfId="0" applyNumberFormat="1" applyFont="1" applyBorder="1" applyAlignment="1">
      <alignment horizontal="right" vertical="center"/>
    </xf>
    <xf numFmtId="14" fontId="7"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25" fillId="0" borderId="3" xfId="15" applyFont="1" applyBorder="1"/>
    <xf numFmtId="0" fontId="25" fillId="0" borderId="2" xfId="10" applyFont="1" applyBorder="1" applyAlignment="1">
      <alignment vertical="center"/>
    </xf>
    <xf numFmtId="0" fontId="25" fillId="0" borderId="3" xfId="10" applyFont="1" applyBorder="1"/>
    <xf numFmtId="0" fontId="18" fillId="0" borderId="1" xfId="2" applyFont="1" applyAlignment="1">
      <alignment horizontal="center" vertical="center"/>
    </xf>
    <xf numFmtId="0" fontId="18" fillId="0" borderId="1" xfId="2" applyFont="1"/>
    <xf numFmtId="3" fontId="18" fillId="0" borderId="1" xfId="2" applyNumberFormat="1" applyFont="1" applyAlignment="1">
      <alignment horizontal="center"/>
    </xf>
    <xf numFmtId="3" fontId="18" fillId="0" borderId="1" xfId="2" applyNumberFormat="1" applyFont="1" applyAlignment="1">
      <alignment horizontal="center" vertical="center"/>
    </xf>
    <xf numFmtId="0" fontId="18" fillId="0" borderId="1" xfId="2" applyFont="1" applyAlignment="1">
      <alignment vertical="center" wrapText="1"/>
    </xf>
    <xf numFmtId="44" fontId="19" fillId="0" borderId="17" xfId="3" applyFont="1" applyFill="1" applyBorder="1" applyAlignment="1">
      <alignment horizontal="center" vertical="center" wrapText="1"/>
    </xf>
    <xf numFmtId="44" fontId="19" fillId="0" borderId="1" xfId="3" applyFont="1" applyFill="1" applyBorder="1" applyAlignment="1">
      <alignment horizontal="center" vertical="center" wrapText="1"/>
    </xf>
    <xf numFmtId="0" fontId="48" fillId="0" borderId="0" xfId="0" applyFont="1" applyAlignment="1">
      <alignment horizontal="center" vertical="center"/>
    </xf>
    <xf numFmtId="0" fontId="49" fillId="0" borderId="2" xfId="15" applyFont="1" applyBorder="1" applyAlignment="1">
      <alignment horizontal="center" vertical="center"/>
    </xf>
    <xf numFmtId="0" fontId="45" fillId="0" borderId="12" xfId="21" applyFont="1" applyBorder="1" applyAlignment="1">
      <alignment horizontal="center" vertical="center"/>
    </xf>
    <xf numFmtId="0" fontId="45" fillId="0" borderId="13" xfId="21" applyFont="1" applyBorder="1" applyAlignment="1">
      <alignment horizontal="center" vertical="center"/>
    </xf>
    <xf numFmtId="0" fontId="25" fillId="0" borderId="14" xfId="0" applyFont="1" applyBorder="1" applyAlignment="1">
      <alignment horizontal="center" vertical="center" wrapText="1"/>
    </xf>
    <xf numFmtId="0" fontId="25" fillId="0" borderId="6" xfId="0" applyFont="1" applyBorder="1" applyAlignment="1">
      <alignment horizontal="center" vertical="center" wrapText="1"/>
    </xf>
    <xf numFmtId="0" fontId="46" fillId="10" borderId="5" xfId="0" applyFont="1" applyFill="1" applyBorder="1" applyAlignment="1">
      <alignment horizontal="center" vertical="center" wrapText="1"/>
    </xf>
    <xf numFmtId="0" fontId="25" fillId="10" borderId="5" xfId="0" applyFont="1" applyFill="1" applyBorder="1" applyAlignment="1">
      <alignment wrapText="1"/>
    </xf>
    <xf numFmtId="0" fontId="25" fillId="10" borderId="5" xfId="0" applyFont="1" applyFill="1" applyBorder="1"/>
    <xf numFmtId="0" fontId="45" fillId="0" borderId="13" xfId="10" applyFont="1" applyBorder="1" applyAlignment="1">
      <alignment horizontal="center" vertical="center"/>
    </xf>
    <xf numFmtId="0" fontId="45" fillId="7" borderId="14" xfId="0" applyFont="1" applyFill="1" applyBorder="1" applyAlignment="1">
      <alignment horizontal="center" vertical="center"/>
    </xf>
    <xf numFmtId="0" fontId="45" fillId="7" borderId="4"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 xfId="0" applyFont="1" applyFill="1" applyBorder="1" applyAlignment="1">
      <alignment horizontal="center" vertical="center"/>
    </xf>
    <xf numFmtId="0" fontId="45" fillId="7" borderId="8" xfId="0" applyFont="1" applyFill="1" applyBorder="1" applyAlignment="1">
      <alignment horizontal="center" vertical="center"/>
    </xf>
    <xf numFmtId="0" fontId="45" fillId="0" borderId="12" xfId="15" applyFont="1" applyBorder="1" applyAlignment="1">
      <alignment horizontal="center" vertical="center" wrapText="1"/>
    </xf>
    <xf numFmtId="0" fontId="45" fillId="0" borderId="13" xfId="15" applyFont="1" applyBorder="1" applyAlignment="1">
      <alignment horizontal="center" vertical="center" wrapText="1"/>
    </xf>
    <xf numFmtId="0" fontId="45" fillId="10" borderId="12" xfId="0" applyFont="1" applyFill="1" applyBorder="1" applyAlignment="1">
      <alignment horizontal="right" vertical="center"/>
    </xf>
    <xf numFmtId="0" fontId="45" fillId="10" borderId="13" xfId="0" applyFont="1" applyFill="1" applyBorder="1" applyAlignment="1">
      <alignment horizontal="right" vertical="center"/>
    </xf>
    <xf numFmtId="0" fontId="45" fillId="11" borderId="5" xfId="0" applyFont="1" applyFill="1" applyBorder="1" applyAlignment="1">
      <alignment horizontal="right" vertical="center"/>
    </xf>
    <xf numFmtId="0" fontId="15" fillId="0" borderId="5" xfId="0" applyFont="1" applyBorder="1" applyAlignment="1">
      <alignment horizontal="justify" vertical="center" wrapText="1"/>
    </xf>
    <xf numFmtId="0" fontId="24" fillId="0" borderId="12" xfId="0" applyFont="1" applyBorder="1" applyAlignment="1">
      <alignment horizontal="right" vertical="center"/>
    </xf>
    <xf numFmtId="0" fontId="24" fillId="0" borderId="17" xfId="0" applyFont="1" applyBorder="1" applyAlignment="1">
      <alignment horizontal="right" vertical="center"/>
    </xf>
    <xf numFmtId="0" fontId="24" fillId="0" borderId="13" xfId="0" applyFont="1" applyBorder="1" applyAlignment="1">
      <alignment horizontal="right" vertical="center"/>
    </xf>
    <xf numFmtId="0" fontId="12" fillId="10" borderId="5" xfId="0" applyFont="1" applyFill="1" applyBorder="1" applyAlignment="1">
      <alignment horizontal="center" vertical="center"/>
    </xf>
    <xf numFmtId="0" fontId="3" fillId="0" borderId="1" xfId="0" applyFont="1" applyBorder="1" applyAlignment="1">
      <alignment horizontal="center"/>
    </xf>
    <xf numFmtId="0" fontId="46" fillId="0" borderId="19" xfId="0" applyFont="1" applyBorder="1" applyAlignment="1">
      <alignment horizontal="right"/>
    </xf>
    <xf numFmtId="0" fontId="46" fillId="0" borderId="9" xfId="0" applyFont="1" applyBorder="1" applyAlignment="1">
      <alignment horizontal="right"/>
    </xf>
    <xf numFmtId="0" fontId="46" fillId="0" borderId="20" xfId="0" applyFont="1" applyBorder="1" applyAlignment="1">
      <alignment horizontal="right"/>
    </xf>
    <xf numFmtId="0" fontId="46" fillId="10" borderId="5" xfId="0" applyFont="1" applyFill="1" applyBorder="1" applyAlignment="1">
      <alignment horizontal="center" vertical="center"/>
    </xf>
    <xf numFmtId="0" fontId="21" fillId="0" borderId="12" xfId="1" applyBorder="1" applyAlignment="1">
      <alignment horizontal="center" vertical="center" wrapText="1"/>
    </xf>
    <xf numFmtId="0" fontId="47" fillId="0" borderId="13" xfId="5" applyFont="1" applyBorder="1" applyAlignment="1">
      <alignment horizontal="center" vertical="center" wrapText="1"/>
    </xf>
    <xf numFmtId="0" fontId="45" fillId="11" borderId="14" xfId="0" applyFont="1" applyFill="1" applyBorder="1" applyAlignment="1">
      <alignment horizontal="right" vertical="center" wrapText="1"/>
    </xf>
    <xf numFmtId="0" fontId="45" fillId="11" borderId="18" xfId="0" applyFont="1" applyFill="1" applyBorder="1" applyAlignment="1">
      <alignment horizontal="right" vertical="center" wrapText="1"/>
    </xf>
    <xf numFmtId="0" fontId="18" fillId="0" borderId="7" xfId="0" applyFont="1" applyBorder="1" applyAlignment="1">
      <alignment horizontal="center" vertical="center" wrapText="1"/>
    </xf>
    <xf numFmtId="0" fontId="18" fillId="0" borderId="1" xfId="0" applyFont="1" applyBorder="1" applyAlignment="1">
      <alignment horizontal="center" vertical="center" wrapText="1"/>
    </xf>
    <xf numFmtId="0" fontId="20" fillId="11" borderId="10" xfId="0" applyFont="1" applyFill="1" applyBorder="1" applyAlignment="1">
      <alignment horizontal="center"/>
    </xf>
    <xf numFmtId="0" fontId="3" fillId="0" borderId="14"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center"/>
    </xf>
    <xf numFmtId="0" fontId="17" fillId="0" borderId="19" xfId="0" applyFont="1" applyBorder="1" applyAlignment="1">
      <alignment horizontal="center" vertical="center"/>
    </xf>
    <xf numFmtId="0" fontId="17" fillId="0" borderId="9" xfId="0" applyFont="1" applyBorder="1" applyAlignment="1">
      <alignment horizontal="center" vertical="center"/>
    </xf>
    <xf numFmtId="0" fontId="12" fillId="0" borderId="19" xfId="0"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7" fillId="0" borderId="19" xfId="8" applyFont="1" applyBorder="1" applyAlignment="1">
      <alignment horizontal="center" vertical="center"/>
    </xf>
    <xf numFmtId="0" fontId="17" fillId="0" borderId="9" xfId="8" applyFont="1" applyBorder="1" applyAlignment="1">
      <alignment horizontal="center" vertical="center"/>
    </xf>
    <xf numFmtId="0" fontId="17" fillId="0" borderId="20" xfId="8" applyFont="1" applyBorder="1" applyAlignment="1">
      <alignment horizontal="center" vertical="center"/>
    </xf>
    <xf numFmtId="0" fontId="18" fillId="0" borderId="7" xfId="8" applyFont="1" applyBorder="1" applyAlignment="1">
      <alignment horizontal="center" vertical="center" wrapText="1"/>
    </xf>
    <xf numFmtId="0" fontId="18" fillId="0" borderId="1" xfId="8" applyFont="1" applyAlignment="1">
      <alignment horizontal="center" vertical="center" wrapText="1"/>
    </xf>
    <xf numFmtId="0" fontId="18" fillId="0" borderId="8" xfId="8" applyFont="1" applyBorder="1" applyAlignment="1">
      <alignment horizontal="center" vertical="center" wrapText="1"/>
    </xf>
    <xf numFmtId="0" fontId="15" fillId="0" borderId="5" xfId="0" applyFont="1" applyBorder="1" applyAlignment="1">
      <alignment horizontal="center"/>
    </xf>
    <xf numFmtId="0" fontId="20" fillId="11" borderId="12" xfId="0" applyFont="1" applyFill="1" applyBorder="1" applyAlignment="1">
      <alignment horizontal="center"/>
    </xf>
    <xf numFmtId="0" fontId="20" fillId="11" borderId="17" xfId="0" applyFont="1" applyFill="1" applyBorder="1" applyAlignment="1">
      <alignment horizontal="center"/>
    </xf>
    <xf numFmtId="0" fontId="20" fillId="11" borderId="13" xfId="0" applyFont="1" applyFill="1" applyBorder="1" applyAlignment="1">
      <alignment horizontal="center"/>
    </xf>
    <xf numFmtId="0" fontId="8" fillId="0" borderId="16" xfId="0" applyFont="1" applyBorder="1" applyAlignment="1">
      <alignment horizontal="center"/>
    </xf>
    <xf numFmtId="0" fontId="8" fillId="0" borderId="4" xfId="0" applyFont="1"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13" fillId="2" borderId="1" xfId="0" applyFont="1" applyFill="1" applyBorder="1" applyAlignment="1">
      <alignment horizontal="center" vertical="center"/>
    </xf>
    <xf numFmtId="0" fontId="9" fillId="0" borderId="1" xfId="0" applyFont="1" applyBorder="1" applyAlignment="1">
      <alignment horizontal="center" vertical="center"/>
    </xf>
    <xf numFmtId="14" fontId="7" fillId="2" borderId="9" xfId="0" applyNumberFormat="1" applyFont="1" applyFill="1" applyBorder="1" applyAlignment="1">
      <alignment horizontal="center" vertical="center"/>
    </xf>
    <xf numFmtId="0" fontId="5" fillId="2" borderId="1" xfId="0" applyFont="1" applyFill="1" applyBorder="1" applyAlignment="1">
      <alignment horizontal="right"/>
    </xf>
    <xf numFmtId="0" fontId="9" fillId="2" borderId="1" xfId="0" applyFont="1" applyFill="1" applyBorder="1" applyAlignment="1">
      <alignment horizontal="right"/>
    </xf>
    <xf numFmtId="0" fontId="4" fillId="0" borderId="9" xfId="0" applyFont="1" applyBorder="1" applyAlignment="1">
      <alignment horizontal="center" vertical="center" wrapText="1"/>
    </xf>
    <xf numFmtId="49" fontId="11" fillId="0" borderId="9" xfId="0" applyNumberFormat="1" applyFont="1" applyBorder="1" applyAlignment="1">
      <alignment horizontal="center"/>
    </xf>
    <xf numFmtId="49" fontId="0" fillId="0" borderId="9" xfId="0" applyNumberFormat="1" applyBorder="1" applyAlignment="1">
      <alignment horizontal="center"/>
    </xf>
    <xf numFmtId="0" fontId="5" fillId="2" borderId="1" xfId="0" applyFont="1" applyFill="1" applyBorder="1" applyAlignment="1">
      <alignment horizontal="center" vertical="center"/>
    </xf>
    <xf numFmtId="0" fontId="22" fillId="0" borderId="0" xfId="0" applyFont="1" applyAlignment="1">
      <alignment horizontal="center" vertical="center" wrapText="1"/>
    </xf>
    <xf numFmtId="0" fontId="26" fillId="0" borderId="1" xfId="0" applyFont="1" applyBorder="1" applyAlignment="1">
      <alignment horizontal="center" vertical="center"/>
    </xf>
    <xf numFmtId="0" fontId="14" fillId="10" borderId="5" xfId="0" applyFont="1" applyFill="1" applyBorder="1" applyAlignment="1">
      <alignment horizontal="center" vertical="center"/>
    </xf>
    <xf numFmtId="0" fontId="25"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45" fillId="0" borderId="5" xfId="21" applyFont="1" applyBorder="1" applyAlignment="1">
      <alignment horizontal="center" vertical="center"/>
    </xf>
    <xf numFmtId="0" fontId="25" fillId="0" borderId="5" xfId="21" applyFont="1" applyBorder="1"/>
    <xf numFmtId="0" fontId="45" fillId="0" borderId="5" xfId="21" applyFont="1" applyBorder="1" applyAlignment="1">
      <alignment horizontal="center" vertical="center" wrapText="1"/>
    </xf>
    <xf numFmtId="0" fontId="24" fillId="9" borderId="5" xfId="21" applyFont="1" applyFill="1" applyBorder="1" applyAlignment="1">
      <alignment horizontal="center" vertical="center" wrapText="1"/>
    </xf>
    <xf numFmtId="0" fontId="25" fillId="7" borderId="5" xfId="21" applyFont="1" applyFill="1" applyBorder="1"/>
    <xf numFmtId="0" fontId="45" fillId="0" borderId="12" xfId="10" applyFont="1" applyBorder="1" applyAlignment="1">
      <alignment horizontal="center" vertical="center"/>
    </xf>
    <xf numFmtId="0" fontId="46" fillId="8" borderId="12" xfId="0" applyFont="1" applyFill="1" applyBorder="1" applyAlignment="1">
      <alignment horizontal="right" vertical="center"/>
    </xf>
    <xf numFmtId="0" fontId="46" fillId="8" borderId="13" xfId="0" applyFont="1" applyFill="1" applyBorder="1" applyAlignment="1">
      <alignment horizontal="right" vertical="center"/>
    </xf>
    <xf numFmtId="0" fontId="45" fillId="0" borderId="21" xfId="15" applyFont="1" applyBorder="1" applyAlignment="1">
      <alignment horizontal="center" vertical="center" wrapText="1"/>
    </xf>
    <xf numFmtId="0" fontId="45" fillId="0" borderId="22" xfId="15" applyFont="1" applyBorder="1" applyAlignment="1">
      <alignment horizontal="center" vertical="center" wrapText="1"/>
    </xf>
    <xf numFmtId="0" fontId="24" fillId="9" borderId="12" xfId="15" applyFont="1" applyFill="1" applyBorder="1" applyAlignment="1">
      <alignment horizontal="center" vertical="center" wrapText="1"/>
    </xf>
    <xf numFmtId="0" fontId="24" fillId="9" borderId="13" xfId="15" applyFont="1" applyFill="1" applyBorder="1" applyAlignment="1">
      <alignment horizontal="center" vertical="center" wrapText="1"/>
    </xf>
    <xf numFmtId="0" fontId="45" fillId="8" borderId="14" xfId="0" applyFont="1" applyFill="1" applyBorder="1" applyAlignment="1">
      <alignment horizontal="center" vertical="center"/>
    </xf>
    <xf numFmtId="0" fontId="45" fillId="8" borderId="4" xfId="0" applyFont="1" applyFill="1" applyBorder="1" applyAlignment="1">
      <alignment horizontal="center" vertical="center"/>
    </xf>
    <xf numFmtId="0" fontId="45" fillId="8" borderId="6" xfId="0" applyFont="1" applyFill="1" applyBorder="1" applyAlignment="1">
      <alignment horizontal="center" vertical="center"/>
    </xf>
    <xf numFmtId="0" fontId="45" fillId="8" borderId="7" xfId="0" applyFont="1" applyFill="1" applyBorder="1" applyAlignment="1">
      <alignment horizontal="center" vertical="center"/>
    </xf>
    <xf numFmtId="0" fontId="45" fillId="8" borderId="1" xfId="0" applyFont="1" applyFill="1" applyBorder="1" applyAlignment="1">
      <alignment horizontal="center" vertical="center"/>
    </xf>
    <xf numFmtId="0" fontId="45" fillId="8" borderId="8" xfId="0" applyFont="1" applyFill="1" applyBorder="1" applyAlignment="1">
      <alignment horizontal="center" vertical="center"/>
    </xf>
    <xf numFmtId="0" fontId="45" fillId="11" borderId="12" xfId="0" applyFont="1" applyFill="1" applyBorder="1" applyAlignment="1">
      <alignment horizontal="right" vertical="center"/>
    </xf>
    <xf numFmtId="0" fontId="45" fillId="11" borderId="15" xfId="0" applyFont="1" applyFill="1" applyBorder="1" applyAlignment="1">
      <alignment horizontal="right" vertical="center"/>
    </xf>
    <xf numFmtId="0" fontId="45" fillId="11" borderId="17" xfId="0" applyFont="1" applyFill="1" applyBorder="1" applyAlignment="1">
      <alignment horizontal="right" vertical="center"/>
    </xf>
    <xf numFmtId="44" fontId="19" fillId="3" borderId="12" xfId="3" applyFont="1" applyFill="1" applyBorder="1" applyAlignment="1">
      <alignment horizontal="center" vertical="center" wrapText="1"/>
    </xf>
    <xf numFmtId="44" fontId="19" fillId="3" borderId="13" xfId="3" applyFont="1" applyFill="1" applyBorder="1" applyAlignment="1">
      <alignment horizontal="center" vertical="center" wrapText="1"/>
    </xf>
    <xf numFmtId="0" fontId="19" fillId="0" borderId="5" xfId="2" applyFont="1" applyBorder="1" applyAlignment="1">
      <alignment horizontal="center" vertical="center" wrapText="1"/>
    </xf>
    <xf numFmtId="0" fontId="6" fillId="4" borderId="5" xfId="2" applyFont="1" applyFill="1" applyBorder="1" applyAlignment="1">
      <alignment horizontal="center" vertical="center" wrapText="1"/>
    </xf>
    <xf numFmtId="44" fontId="19" fillId="0" borderId="17" xfId="3" applyFont="1" applyFill="1" applyBorder="1" applyAlignment="1">
      <alignment horizontal="center" vertical="center" wrapText="1"/>
    </xf>
    <xf numFmtId="0" fontId="18" fillId="0" borderId="12" xfId="2" applyFont="1" applyBorder="1" applyAlignment="1">
      <alignment horizontal="justify" vertical="center" wrapText="1"/>
    </xf>
    <xf numFmtId="0" fontId="18" fillId="0" borderId="17" xfId="2" applyFont="1" applyBorder="1" applyAlignment="1">
      <alignment horizontal="justify" vertical="center" wrapText="1"/>
    </xf>
    <xf numFmtId="0" fontId="19" fillId="0" borderId="12" xfId="2" applyFont="1" applyBorder="1" applyAlignment="1">
      <alignment horizontal="center" vertical="center"/>
    </xf>
    <xf numFmtId="0" fontId="19" fillId="0" borderId="13" xfId="2" applyFont="1" applyBorder="1" applyAlignment="1">
      <alignment horizontal="center" vertical="center"/>
    </xf>
    <xf numFmtId="0" fontId="19" fillId="4" borderId="5" xfId="2" applyFont="1" applyFill="1" applyBorder="1" applyAlignment="1">
      <alignment horizontal="center" vertical="center"/>
    </xf>
    <xf numFmtId="0" fontId="16" fillId="5" borderId="5" xfId="0" applyFont="1" applyFill="1" applyBorder="1" applyAlignment="1">
      <alignment horizontal="center" vertical="center"/>
    </xf>
    <xf numFmtId="0" fontId="19" fillId="0" borderId="5" xfId="2" applyFont="1" applyBorder="1" applyAlignment="1">
      <alignment horizontal="center" vertical="center"/>
    </xf>
    <xf numFmtId="0" fontId="40" fillId="0" borderId="23" xfId="37" applyFont="1" applyBorder="1" applyAlignment="1">
      <alignment horizontal="left" vertical="top" wrapText="1"/>
    </xf>
    <xf numFmtId="0" fontId="40" fillId="0" borderId="1" xfId="37" applyFont="1" applyAlignment="1">
      <alignment horizontal="left" vertical="top" wrapText="1"/>
    </xf>
    <xf numFmtId="0" fontId="32" fillId="0" borderId="23" xfId="37" applyFont="1" applyBorder="1" applyAlignment="1">
      <alignment horizontal="left" vertical="top" wrapText="1"/>
    </xf>
    <xf numFmtId="0" fontId="32" fillId="0" borderId="1" xfId="37" applyFont="1" applyAlignment="1">
      <alignment horizontal="left" vertical="top" wrapText="1"/>
    </xf>
    <xf numFmtId="0" fontId="33" fillId="0" borderId="23" xfId="37" applyFont="1" applyBorder="1" applyAlignment="1">
      <alignment horizontal="left" vertical="top" wrapText="1"/>
    </xf>
    <xf numFmtId="0" fontId="33" fillId="0" borderId="1" xfId="37" applyFont="1" applyAlignment="1">
      <alignment horizontal="left" vertical="top" wrapText="1"/>
    </xf>
    <xf numFmtId="0" fontId="30" fillId="0" borderId="24" xfId="36" applyFont="1" applyBorder="1" applyAlignment="1">
      <alignment horizontal="center"/>
    </xf>
    <xf numFmtId="0" fontId="30" fillId="0" borderId="25" xfId="36" applyFont="1" applyBorder="1" applyAlignment="1">
      <alignment horizontal="center"/>
    </xf>
    <xf numFmtId="0" fontId="30" fillId="0" borderId="32" xfId="36" applyFont="1" applyBorder="1" applyAlignment="1">
      <alignment horizontal="center"/>
    </xf>
    <xf numFmtId="0" fontId="39" fillId="0" borderId="23" xfId="37" applyFont="1" applyBorder="1" applyAlignment="1">
      <alignment horizontal="left" vertical="top" wrapText="1"/>
    </xf>
    <xf numFmtId="0" fontId="39" fillId="0" borderId="1" xfId="37" applyFont="1" applyAlignment="1">
      <alignment horizontal="left" vertical="top" wrapText="1"/>
    </xf>
    <xf numFmtId="0" fontId="43" fillId="0" borderId="5" xfId="36" applyFont="1" applyBorder="1" applyAlignment="1">
      <alignment horizontal="left" vertical="center" wrapText="1"/>
    </xf>
    <xf numFmtId="0" fontId="2" fillId="0" borderId="33" xfId="36" applyBorder="1" applyAlignment="1">
      <alignment horizontal="center"/>
    </xf>
    <xf numFmtId="0" fontId="42" fillId="0" borderId="34" xfId="36" applyFont="1" applyBorder="1" applyAlignment="1">
      <alignment horizontal="center" vertical="center" wrapText="1"/>
    </xf>
    <xf numFmtId="0" fontId="43" fillId="0" borderId="5" xfId="36" applyFont="1" applyBorder="1" applyAlignment="1">
      <alignment horizontal="left" vertical="center"/>
    </xf>
    <xf numFmtId="0" fontId="43" fillId="0" borderId="5" xfId="36" applyFont="1" applyBorder="1" applyAlignment="1">
      <alignment horizontal="justify" vertical="center" wrapText="1"/>
    </xf>
    <xf numFmtId="0" fontId="2" fillId="0" borderId="35" xfId="36" applyBorder="1" applyAlignment="1">
      <alignment horizontal="center"/>
    </xf>
    <xf numFmtId="0" fontId="43" fillId="0" borderId="5" xfId="36" applyFont="1" applyBorder="1" applyAlignment="1">
      <alignment horizontal="center" vertical="center" wrapText="1"/>
    </xf>
    <xf numFmtId="0" fontId="43" fillId="0" borderId="36" xfId="36" applyFont="1" applyBorder="1" applyAlignment="1">
      <alignment horizontal="left" vertical="center" wrapText="1"/>
    </xf>
    <xf numFmtId="0" fontId="2" fillId="0" borderId="40" xfId="36" applyBorder="1" applyAlignment="1">
      <alignment horizontal="center"/>
    </xf>
    <xf numFmtId="0" fontId="43" fillId="0" borderId="29" xfId="36" applyFont="1" applyBorder="1" applyAlignment="1">
      <alignment horizontal="center" vertical="center" wrapText="1"/>
    </xf>
    <xf numFmtId="0" fontId="21" fillId="0" borderId="12" xfId="1" applyBorder="1" applyAlignment="1">
      <alignment horizontal="center" vertical="center"/>
    </xf>
    <xf numFmtId="0" fontId="46" fillId="10" borderId="10" xfId="0" applyFont="1" applyFill="1" applyBorder="1" applyAlignment="1">
      <alignment horizontal="center" vertical="center" wrapText="1"/>
    </xf>
    <xf numFmtId="0" fontId="46" fillId="10" borderId="42" xfId="0" applyFont="1" applyFill="1" applyBorder="1" applyAlignment="1">
      <alignment horizontal="center" vertical="center" wrapText="1"/>
    </xf>
    <xf numFmtId="0" fontId="21" fillId="0" borderId="13" xfId="1" applyBorder="1" applyAlignment="1">
      <alignment horizontal="center" vertical="center"/>
    </xf>
    <xf numFmtId="0" fontId="45" fillId="0" borderId="21" xfId="10" applyFont="1" applyBorder="1" applyAlignment="1">
      <alignment horizontal="center" vertical="center" wrapText="1"/>
    </xf>
    <xf numFmtId="0" fontId="45" fillId="0" borderId="41" xfId="10" applyFont="1" applyBorder="1" applyAlignment="1">
      <alignment horizontal="center" vertical="center" wrapText="1"/>
    </xf>
    <xf numFmtId="0" fontId="24" fillId="9" borderId="12" xfId="10" applyFont="1" applyFill="1" applyBorder="1" applyAlignment="1">
      <alignment horizontal="center" vertical="center" wrapText="1"/>
    </xf>
    <xf numFmtId="0" fontId="24" fillId="9" borderId="13" xfId="10" applyFont="1" applyFill="1" applyBorder="1" applyAlignment="1">
      <alignment horizontal="center" vertical="center" wrapText="1"/>
    </xf>
    <xf numFmtId="0" fontId="45" fillId="0" borderId="12" xfId="10" applyFont="1" applyBorder="1" applyAlignment="1">
      <alignment horizontal="center" vertical="center" wrapText="1"/>
    </xf>
    <xf numFmtId="0" fontId="45" fillId="0" borderId="13" xfId="10" applyFont="1" applyBorder="1" applyAlignment="1">
      <alignment horizontal="center" vertical="center" wrapText="1"/>
    </xf>
    <xf numFmtId="0" fontId="0" fillId="0" borderId="0" xfId="0" applyAlignment="1">
      <alignment vertical="center"/>
    </xf>
    <xf numFmtId="0" fontId="18" fillId="0" borderId="17" xfId="2" applyFont="1" applyBorder="1" applyAlignment="1">
      <alignment horizontal="justify" vertical="center" wrapText="1"/>
    </xf>
  </cellXfs>
  <cellStyles count="55">
    <cellStyle name="Hipervínculo" xfId="1" builtinId="8"/>
    <cellStyle name="Hipervínculo 2" xfId="5" xr:uid="{00000000-0005-0000-0000-000001000000}"/>
    <cellStyle name="Moneda 2" xfId="3" xr:uid="{00000000-0005-0000-0000-000002000000}"/>
    <cellStyle name="Moneda 2 2" xfId="17" xr:uid="{00000000-0005-0000-0000-000003000000}"/>
    <cellStyle name="Moneda 2 2 2" xfId="31" xr:uid="{00000000-0005-0000-0000-000004000000}"/>
    <cellStyle name="Moneda 2 2 2 2" xfId="48" xr:uid="{8072AE90-D2AA-427F-BC30-94393AD784B0}"/>
    <cellStyle name="Moneda 2 2 3" xfId="26" xr:uid="{00000000-0005-0000-0000-000005000000}"/>
    <cellStyle name="Moneda 2 2 3 2" xfId="45" xr:uid="{C2E162C8-CDC0-4A9C-8BAB-4F7B28F374FE}"/>
    <cellStyle name="Moneda 2 2 4" xfId="35" xr:uid="{00000000-0005-0000-0000-000006000000}"/>
    <cellStyle name="Moneda 2 2 4 2" xfId="51" xr:uid="{86C70F76-A6FD-48CF-A735-935E0F9FFAE2}"/>
    <cellStyle name="Moneda 2 2 5" xfId="42" xr:uid="{3D81E29D-9260-484C-9E0A-83B35BEC32F5}"/>
    <cellStyle name="Moneda 2 3" xfId="12" xr:uid="{00000000-0005-0000-0000-000007000000}"/>
    <cellStyle name="Moneda 2 3 2" xfId="30" xr:uid="{00000000-0005-0000-0000-000008000000}"/>
    <cellStyle name="Moneda 2 3 2 2" xfId="47" xr:uid="{5DDD6722-2E0B-4CE0-AEE7-7212D980D450}"/>
    <cellStyle name="Moneda 2 3 3" xfId="25" xr:uid="{00000000-0005-0000-0000-000009000000}"/>
    <cellStyle name="Moneda 2 3 3 2" xfId="44" xr:uid="{4E7F78D2-C22B-4DCE-B4BA-7FA04B0474BB}"/>
    <cellStyle name="Moneda 2 3 4" xfId="41" xr:uid="{F1818F84-1EAA-4520-AB7C-838F732FC490}"/>
    <cellStyle name="Moneda 2 4" xfId="28" xr:uid="{00000000-0005-0000-0000-00000A000000}"/>
    <cellStyle name="Moneda 2 4 2" xfId="46" xr:uid="{24BCA7E8-A921-45AB-948F-24DF3D30E09D}"/>
    <cellStyle name="Moneda 2 5" xfId="33" xr:uid="{00000000-0005-0000-0000-00000B000000}"/>
    <cellStyle name="Moneda 2 5 2" xfId="49" xr:uid="{95B62947-C655-4A0B-8081-61FB3D707308}"/>
    <cellStyle name="Moneda 2 6" xfId="23" xr:uid="{00000000-0005-0000-0000-00000C000000}"/>
    <cellStyle name="Moneda 2 6 2" xfId="43" xr:uid="{226EC73E-8A3B-4E87-8007-BBC01B32DD08}"/>
    <cellStyle name="Moneda 2 7" xfId="34" xr:uid="{00000000-0005-0000-0000-00000D000000}"/>
    <cellStyle name="Moneda 2 7 2" xfId="50" xr:uid="{F8D9458C-CCCC-4904-B860-009C159F9F21}"/>
    <cellStyle name="Moneda 2 8" xfId="40" xr:uid="{1ED2DF61-C4FB-46AD-8DD2-E2D9254B9098}"/>
    <cellStyle name="Normal" xfId="0" builtinId="0"/>
    <cellStyle name="Normal 10" xfId="36" xr:uid="{5B6B548C-40F1-4881-A53F-0933EF08462B}"/>
    <cellStyle name="Normal 10 2" xfId="52" xr:uid="{3F380030-548C-4B4D-A75D-CD3BC1E79B43}"/>
    <cellStyle name="Normal 2" xfId="2" xr:uid="{00000000-0005-0000-0000-00000F000000}"/>
    <cellStyle name="Normal 2 2 2" xfId="37" xr:uid="{621F879E-5B69-4737-8EBB-DE789A7E8A06}"/>
    <cellStyle name="Normal 3" xfId="4" xr:uid="{00000000-0005-0000-0000-000010000000}"/>
    <cellStyle name="Normal 3 2" xfId="8" xr:uid="{00000000-0005-0000-0000-000011000000}"/>
    <cellStyle name="Normal 4" xfId="7" xr:uid="{00000000-0005-0000-0000-000012000000}"/>
    <cellStyle name="Normal 4 2" xfId="19" xr:uid="{00000000-0005-0000-0000-000013000000}"/>
    <cellStyle name="Normal 4 3" xfId="14" xr:uid="{00000000-0005-0000-0000-000014000000}"/>
    <cellStyle name="Normal 5" xfId="9" xr:uid="{00000000-0005-0000-0000-000015000000}"/>
    <cellStyle name="Normal 5 2" xfId="20" xr:uid="{00000000-0005-0000-0000-000016000000}"/>
    <cellStyle name="Normal 5 2 2" xfId="38" xr:uid="{052A7361-C4AF-4E43-BA32-4360E36161CD}"/>
    <cellStyle name="Normal 5 2 2 2" xfId="53" xr:uid="{35F7174C-E0E4-47EE-97FA-C002ECADA0BF}"/>
    <cellStyle name="Normal 5 2 3" xfId="39" xr:uid="{0446A80E-3A71-4B84-A251-A01842F6716B}"/>
    <cellStyle name="Normal 5 2 3 2" xfId="54" xr:uid="{604C10CF-0D23-479B-9D45-DB9F8B43485C}"/>
    <cellStyle name="Normal 5 3" xfId="15" xr:uid="{00000000-0005-0000-0000-000017000000}"/>
    <cellStyle name="Normal 6" xfId="10" xr:uid="{00000000-0005-0000-0000-000018000000}"/>
    <cellStyle name="Normal 6 2" xfId="21" xr:uid="{00000000-0005-0000-0000-000019000000}"/>
    <cellStyle name="Normal 6 3" xfId="16" xr:uid="{00000000-0005-0000-0000-00001A000000}"/>
    <cellStyle name="Normal 7" xfId="6" xr:uid="{00000000-0005-0000-0000-00001B000000}"/>
    <cellStyle name="Normal 7 2" xfId="18" xr:uid="{00000000-0005-0000-0000-00001C000000}"/>
    <cellStyle name="Normal 7 3" xfId="13" xr:uid="{00000000-0005-0000-0000-00001D000000}"/>
    <cellStyle name="Normal 8" xfId="11" xr:uid="{00000000-0005-0000-0000-00001E000000}"/>
    <cellStyle name="Normal 8 2" xfId="29" xr:uid="{00000000-0005-0000-0000-00001F000000}"/>
    <cellStyle name="Normal 8 3" xfId="24" xr:uid="{00000000-0005-0000-0000-000020000000}"/>
    <cellStyle name="Normal 9" xfId="22" xr:uid="{00000000-0005-0000-0000-000021000000}"/>
    <cellStyle name="Normal 9 2" xfId="32" xr:uid="{00000000-0005-0000-0000-000022000000}"/>
    <cellStyle name="Normal 9 3" xfId="27" xr:uid="{00000000-0005-0000-0000-000023000000}"/>
  </cellStyles>
  <dxfs count="0"/>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104775</xdr:rowOff>
    </xdr:from>
    <xdr:to>
      <xdr:col>1</xdr:col>
      <xdr:colOff>281828</xdr:colOff>
      <xdr:row>5</xdr:row>
      <xdr:rowOff>163046</xdr:rowOff>
    </xdr:to>
    <xdr:pic>
      <xdr:nvPicPr>
        <xdr:cNvPr id="4" name="Picture 1" descr="escudo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104775"/>
          <a:ext cx="834278" cy="8774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200026</xdr:colOff>
      <xdr:row>0</xdr:row>
      <xdr:rowOff>38100</xdr:rowOff>
    </xdr:from>
    <xdr:ext cx="695324" cy="1031772"/>
    <xdr:pic>
      <xdr:nvPicPr>
        <xdr:cNvPr id="2" name="Imagen 3">
          <a:extLst>
            <a:ext uri="{FF2B5EF4-FFF2-40B4-BE49-F238E27FC236}">
              <a16:creationId xmlns:a16="http://schemas.microsoft.com/office/drawing/2014/main" id="{2E794DC4-62A0-42DA-913B-762140DB5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6" y="38100"/>
          <a:ext cx="695324" cy="1031772"/>
        </a:xfrm>
        <a:prstGeom prst="rect">
          <a:avLst/>
        </a:prstGeom>
      </xdr:spPr>
    </xdr:pic>
    <xdr:clientData/>
  </xdr:oneCellAnchor>
  <xdr:oneCellAnchor>
    <xdr:from>
      <xdr:col>1</xdr:col>
      <xdr:colOff>123825</xdr:colOff>
      <xdr:row>28</xdr:row>
      <xdr:rowOff>47625</xdr:rowOff>
    </xdr:from>
    <xdr:ext cx="695324" cy="1031772"/>
    <xdr:pic>
      <xdr:nvPicPr>
        <xdr:cNvPr id="3" name="Imagen 3">
          <a:extLst>
            <a:ext uri="{FF2B5EF4-FFF2-40B4-BE49-F238E27FC236}">
              <a16:creationId xmlns:a16="http://schemas.microsoft.com/office/drawing/2014/main" id="{20EDE89A-EEBB-4B28-AB4B-DDA2D5E8A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7010400"/>
          <a:ext cx="695324" cy="103177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ASE%20COMPRAS%202026.xlsx" TargetMode="External"/><Relationship Id="rId2" Type="http://schemas.openxmlformats.org/officeDocument/2006/relationships/externalLinkPath" Target="file:///\\10.2.1.92\FAA_divserv_admvos\COMPRAS\COMPRAS%202026\BASE%20COMPRAS%202026.xlsx" TargetMode="External"/><Relationship Id="rId1" Type="http://schemas.openxmlformats.org/officeDocument/2006/relationships/externalLinkPath" Target="/COMPRAS/COMPRAS%202026/BASE%20COMPRAS%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3"/>
      <sheetName val="BASE"/>
      <sheetName val="Hoja2"/>
      <sheetName val="CATALOGO 2026"/>
      <sheetName val="Hoja1"/>
    </sheetNames>
    <sheetDataSet>
      <sheetData sheetId="0"/>
      <sheetData sheetId="1">
        <row r="1">
          <cell r="A1" t="str">
            <v>FOLIO DSA</v>
          </cell>
          <cell r="B1" t="str">
            <v>FOLIO DSA</v>
          </cell>
          <cell r="C1" t="str">
            <v xml:space="preserve">TIPO DE TRAMITE </v>
          </cell>
          <cell r="D1" t="str">
            <v>FECHA DE RECEPCION</v>
          </cell>
          <cell r="E1" t="str">
            <v xml:space="preserve"> SERVICIO SOLICITANTE</v>
          </cell>
          <cell r="F1" t="str">
            <v>OFICIO DE SOLICITUD</v>
          </cell>
          <cell r="G1" t="str">
            <v>CODIGO DE PRODUCTO</v>
          </cell>
          <cell r="H1" t="str">
            <v>DESCRIPCION</v>
          </cell>
          <cell r="I1" t="str">
            <v>CANTIDAD SOLICITADA</v>
          </cell>
          <cell r="J1" t="str">
            <v>UNIDAD DE MEDIDA</v>
          </cell>
          <cell r="K1" t="str">
            <v>PARTIDA PRESUPUESTAL</v>
          </cell>
          <cell r="L1" t="str">
            <v>EMPLEADO</v>
          </cell>
          <cell r="M1" t="str">
            <v>RUD</v>
          </cell>
          <cell r="N1" t="str">
            <v>NOMBRE DEL PACIENTE</v>
          </cell>
          <cell r="O1" t="str">
            <v>REGISTRO</v>
          </cell>
          <cell r="P1" t="str">
            <v>ATIENDE</v>
          </cell>
          <cell r="Q1" t="str">
            <v>FECHA DE ENTREGA PARA COTIZACION</v>
          </cell>
          <cell r="R1" t="str">
            <v>ESTATUS DSA</v>
          </cell>
          <cell r="S1" t="str">
            <v>OBSERVACIONES</v>
          </cell>
          <cell r="T1" t="str">
            <v>FOLIO DE SUPRE</v>
          </cell>
          <cell r="U1" t="str">
            <v>FECHA DE SUPRE</v>
          </cell>
          <cell r="V1" t="str">
            <v xml:space="preserve">PRECIO UNITARIO </v>
          </cell>
          <cell r="W1" t="str">
            <v>SUBTOTAL</v>
          </cell>
          <cell r="X1" t="str">
            <v>IVA</v>
          </cell>
          <cell r="Y1" t="str">
            <v>COSTO CON IVA</v>
          </cell>
          <cell r="Z1" t="str">
            <v>PQTE. ENVIO AUTORIZACION CAA</v>
          </cell>
          <cell r="AA1" t="str">
            <v>FECHA DE RECIBIDO EN CAA</v>
          </cell>
          <cell r="AB1" t="str">
            <v>FECHA DE AUTORIZACION CAA</v>
          </cell>
          <cell r="AC1" t="str">
            <v>FOLIO DE AUTORIZACION CAA</v>
          </cell>
          <cell r="AD1" t="str">
            <v>CANTIDAD (PIEZAS) DEL PEDIDO</v>
          </cell>
          <cell r="AE1" t="str">
            <v>NUMERO DE PEDIDO</v>
          </cell>
          <cell r="AF1" t="str">
            <v>FECHA PEDIDO</v>
          </cell>
          <cell r="AG1" t="str">
            <v>PROVEEDOR</v>
          </cell>
          <cell r="AH1" t="str">
            <v>ESTATUS DE ENTREGA</v>
          </cell>
          <cell r="AI1" t="str">
            <v>FECHA DE ENTREGA A ALMACEN/EMPLEADO</v>
          </cell>
          <cell r="AJ1" t="str">
            <v>NO. FACTURA</v>
          </cell>
          <cell r="AK1" t="str">
            <v>FECHA DE FACTURA</v>
          </cell>
          <cell r="AL1" t="str">
            <v>FECHA DE ENVIO XML A RF</v>
          </cell>
          <cell r="AM1" t="str">
            <v>FECHA DE PAGO</v>
          </cell>
          <cell r="AN1" t="str">
            <v>ENVIO DE COMPLEMENTO DE PAGO A RF</v>
          </cell>
        </row>
        <row r="2">
          <cell r="B2">
            <v>0</v>
          </cell>
          <cell r="G2">
            <v>3551001010</v>
          </cell>
          <cell r="H2" t="str">
            <v>SERVICIO DE AFINACION DE MOTOR CON HOLOGRAMA VAN (9)</v>
          </cell>
          <cell r="J2" t="str">
            <v>SERVICIO</v>
          </cell>
          <cell r="K2">
            <v>3551</v>
          </cell>
        </row>
        <row r="3">
          <cell r="A3" t="str">
            <v>1/2026</v>
          </cell>
          <cell r="B3">
            <v>1</v>
          </cell>
          <cell r="C3" t="str">
            <v>COMPRA POR FONDO</v>
          </cell>
          <cell r="D3">
            <v>46031</v>
          </cell>
          <cell r="E3" t="str">
            <v>DIVISION DE SERVICIOS GENERALES</v>
          </cell>
          <cell r="F3" t="str">
            <v>FDSG/7/2026</v>
          </cell>
          <cell r="G3">
            <v>2611001004</v>
          </cell>
          <cell r="H3" t="str">
            <v>ANTICONGELANTE REFRIGERANTE  50/50 3.785 LITROS</v>
          </cell>
          <cell r="I3">
            <v>30</v>
          </cell>
          <cell r="J3" t="str">
            <v>GALON</v>
          </cell>
          <cell r="K3">
            <v>2611</v>
          </cell>
          <cell r="L3" t="str">
            <v>N/A</v>
          </cell>
          <cell r="M3" t="str">
            <v>N/A</v>
          </cell>
          <cell r="N3" t="str">
            <v>N/A</v>
          </cell>
          <cell r="O3" t="str">
            <v>N/A</v>
          </cell>
          <cell r="P3" t="str">
            <v>BRENDA</v>
          </cell>
          <cell r="Q3">
            <v>46041</v>
          </cell>
          <cell r="R3" t="str">
            <v>RECURSOS FINANCIEROS</v>
          </cell>
          <cell r="T3" t="str">
            <v>317/2026</v>
          </cell>
          <cell r="U3">
            <v>46057</v>
          </cell>
          <cell r="V3">
            <v>169.5</v>
          </cell>
          <cell r="W3">
            <v>5085</v>
          </cell>
          <cell r="X3">
            <v>813.6</v>
          </cell>
          <cell r="Y3">
            <v>5898.6</v>
          </cell>
          <cell r="Z3">
            <v>1</v>
          </cell>
          <cell r="AA3">
            <v>46050</v>
          </cell>
          <cell r="AB3">
            <v>46064</v>
          </cell>
          <cell r="AC3">
            <v>1</v>
          </cell>
          <cell r="AD3">
            <v>30</v>
          </cell>
          <cell r="AE3">
            <v>54</v>
          </cell>
          <cell r="AF3">
            <v>46057</v>
          </cell>
          <cell r="AG3" t="str">
            <v xml:space="preserve">CLAUDIA MONTSERRATH BERNARDO HERNANDEZ </v>
          </cell>
          <cell r="AH3" t="str">
            <v>ENTREGADO</v>
          </cell>
          <cell r="AI3">
            <v>46070</v>
          </cell>
          <cell r="AJ3">
            <v>1044</v>
          </cell>
          <cell r="AK3">
            <v>46069</v>
          </cell>
          <cell r="AL3">
            <v>46090</v>
          </cell>
        </row>
        <row r="4">
          <cell r="A4" t="str">
            <v>1/2026</v>
          </cell>
          <cell r="B4">
            <v>1</v>
          </cell>
          <cell r="C4" t="str">
            <v>COMPRA POR FONDO</v>
          </cell>
          <cell r="D4">
            <v>46031</v>
          </cell>
          <cell r="E4" t="str">
            <v>DIVISION DE SERVICIOS GENERALES</v>
          </cell>
          <cell r="F4" t="str">
            <v>FDSG/7/2026</v>
          </cell>
          <cell r="G4">
            <v>2611001003</v>
          </cell>
          <cell r="H4" t="str">
            <v>ACEITE SINTÉTICO DE TRANSMISIÓN AUTOMÁTICA ATF</v>
          </cell>
          <cell r="I4">
            <v>30</v>
          </cell>
          <cell r="J4" t="str">
            <v>LITRO</v>
          </cell>
          <cell r="K4">
            <v>2611</v>
          </cell>
          <cell r="L4" t="str">
            <v>N/A</v>
          </cell>
          <cell r="M4" t="str">
            <v>N/A</v>
          </cell>
          <cell r="N4" t="str">
            <v>N/A</v>
          </cell>
          <cell r="O4" t="str">
            <v>N/A</v>
          </cell>
          <cell r="P4" t="str">
            <v>BRENDA</v>
          </cell>
          <cell r="Q4">
            <v>46041</v>
          </cell>
          <cell r="R4" t="str">
            <v>RECURSOS FINANCIEROS</v>
          </cell>
          <cell r="T4" t="str">
            <v>317/2026</v>
          </cell>
          <cell r="U4">
            <v>46057</v>
          </cell>
          <cell r="V4">
            <v>185.5</v>
          </cell>
          <cell r="W4">
            <v>5565</v>
          </cell>
          <cell r="X4">
            <v>890.4</v>
          </cell>
          <cell r="Y4">
            <v>6455.4</v>
          </cell>
          <cell r="Z4">
            <v>1</v>
          </cell>
          <cell r="AA4">
            <v>46050</v>
          </cell>
          <cell r="AB4">
            <v>46064</v>
          </cell>
          <cell r="AC4">
            <v>1</v>
          </cell>
          <cell r="AD4">
            <v>30</v>
          </cell>
          <cell r="AE4">
            <v>54</v>
          </cell>
          <cell r="AF4">
            <v>46057</v>
          </cell>
          <cell r="AG4" t="str">
            <v xml:space="preserve">CLAUDIA MONTSERRATH BERNARDO HERNANDEZ </v>
          </cell>
          <cell r="AH4" t="str">
            <v>ENTREGADO</v>
          </cell>
          <cell r="AI4">
            <v>46070</v>
          </cell>
          <cell r="AJ4">
            <v>1044</v>
          </cell>
          <cell r="AK4">
            <v>46069</v>
          </cell>
          <cell r="AL4">
            <v>46090</v>
          </cell>
        </row>
        <row r="5">
          <cell r="A5" t="str">
            <v>1/2026</v>
          </cell>
          <cell r="B5">
            <v>1</v>
          </cell>
          <cell r="C5" t="str">
            <v>COMPRA POR FONDO</v>
          </cell>
          <cell r="D5">
            <v>46031</v>
          </cell>
          <cell r="E5" t="str">
            <v>DIVISION DE SERVICIOS GENERALES</v>
          </cell>
          <cell r="F5" t="str">
            <v>FDSG/7/2026</v>
          </cell>
          <cell r="G5">
            <v>2611001005</v>
          </cell>
          <cell r="H5" t="str">
            <v>ACEITE PARA MOTOR  20W50 MULTIGRADO  3.785 LITROS</v>
          </cell>
          <cell r="I5">
            <v>30</v>
          </cell>
          <cell r="J5" t="str">
            <v>GALON</v>
          </cell>
          <cell r="K5">
            <v>2611</v>
          </cell>
          <cell r="L5" t="str">
            <v>N/A</v>
          </cell>
          <cell r="M5" t="str">
            <v>N/A</v>
          </cell>
          <cell r="N5" t="str">
            <v>N/A</v>
          </cell>
          <cell r="O5" t="str">
            <v>N/A</v>
          </cell>
          <cell r="P5" t="str">
            <v>BRENDA</v>
          </cell>
          <cell r="Q5">
            <v>46041</v>
          </cell>
          <cell r="R5" t="str">
            <v>RECURSOS FINANCIEROS</v>
          </cell>
          <cell r="T5" t="str">
            <v>317/2026</v>
          </cell>
          <cell r="U5">
            <v>46057</v>
          </cell>
          <cell r="V5">
            <v>552.98</v>
          </cell>
          <cell r="W5">
            <v>16589.400000000001</v>
          </cell>
          <cell r="X5">
            <v>2654.3040000000001</v>
          </cell>
          <cell r="Y5">
            <v>19243.704000000002</v>
          </cell>
          <cell r="Z5">
            <v>1</v>
          </cell>
          <cell r="AA5">
            <v>46050</v>
          </cell>
          <cell r="AB5">
            <v>46064</v>
          </cell>
          <cell r="AC5">
            <v>1</v>
          </cell>
          <cell r="AD5">
            <v>30</v>
          </cell>
          <cell r="AE5">
            <v>54</v>
          </cell>
          <cell r="AF5">
            <v>46057</v>
          </cell>
          <cell r="AG5" t="str">
            <v xml:space="preserve">CLAUDIA MONTSERRATH BERNARDO HERNANDEZ </v>
          </cell>
          <cell r="AH5" t="str">
            <v>ENTREGADO</v>
          </cell>
          <cell r="AI5">
            <v>46070</v>
          </cell>
          <cell r="AJ5">
            <v>1044</v>
          </cell>
          <cell r="AK5">
            <v>46069</v>
          </cell>
          <cell r="AL5">
            <v>46090</v>
          </cell>
        </row>
        <row r="6">
          <cell r="A6" t="str">
            <v>1/2026</v>
          </cell>
          <cell r="B6">
            <v>1</v>
          </cell>
          <cell r="C6" t="str">
            <v>COMPRA POR FONDO</v>
          </cell>
          <cell r="D6">
            <v>46031</v>
          </cell>
          <cell r="E6" t="str">
            <v>DIVISION DE SERVICIOS GENERALES</v>
          </cell>
          <cell r="F6" t="str">
            <v>FDSG/7/2026</v>
          </cell>
          <cell r="G6">
            <v>2611001006</v>
          </cell>
          <cell r="H6" t="str">
            <v>LIQUIDO DE FRENOS  900 ML</v>
          </cell>
          <cell r="I6">
            <v>10</v>
          </cell>
          <cell r="J6" t="str">
            <v>PIEZA</v>
          </cell>
          <cell r="K6">
            <v>2611</v>
          </cell>
          <cell r="L6" t="str">
            <v>N/A</v>
          </cell>
          <cell r="M6" t="str">
            <v>N/A</v>
          </cell>
          <cell r="N6" t="str">
            <v>N/A</v>
          </cell>
          <cell r="O6" t="str">
            <v>N/A</v>
          </cell>
          <cell r="P6" t="str">
            <v>BRENDA</v>
          </cell>
          <cell r="Q6">
            <v>46041</v>
          </cell>
          <cell r="R6" t="str">
            <v>RECURSOS FINANCIEROS</v>
          </cell>
          <cell r="T6" t="str">
            <v>317/2026</v>
          </cell>
          <cell r="U6">
            <v>46057</v>
          </cell>
          <cell r="V6">
            <v>149.5</v>
          </cell>
          <cell r="W6">
            <v>1495</v>
          </cell>
          <cell r="X6">
            <v>239.20000000000002</v>
          </cell>
          <cell r="Y6">
            <v>1734.2</v>
          </cell>
          <cell r="Z6">
            <v>1</v>
          </cell>
          <cell r="AA6">
            <v>46050</v>
          </cell>
          <cell r="AB6">
            <v>46064</v>
          </cell>
          <cell r="AC6">
            <v>1</v>
          </cell>
          <cell r="AD6">
            <v>10</v>
          </cell>
          <cell r="AE6">
            <v>54</v>
          </cell>
          <cell r="AF6">
            <v>46057</v>
          </cell>
          <cell r="AG6" t="str">
            <v xml:space="preserve">CLAUDIA MONTSERRATH BERNARDO HERNANDEZ </v>
          </cell>
          <cell r="AH6" t="str">
            <v>ENTREGADO</v>
          </cell>
          <cell r="AI6">
            <v>46070</v>
          </cell>
          <cell r="AJ6">
            <v>1044</v>
          </cell>
          <cell r="AK6">
            <v>46069</v>
          </cell>
          <cell r="AL6">
            <v>46090</v>
          </cell>
        </row>
        <row r="7">
          <cell r="A7" t="str">
            <v>2/2026</v>
          </cell>
          <cell r="B7">
            <v>2</v>
          </cell>
          <cell r="C7" t="str">
            <v>COMPRA POR FONDO</v>
          </cell>
          <cell r="D7">
            <v>46035</v>
          </cell>
          <cell r="E7" t="str">
            <v>TRANSPORTES</v>
          </cell>
          <cell r="F7" t="str">
            <v>FTRANSP/04/2026</v>
          </cell>
          <cell r="G7">
            <v>3551007008</v>
          </cell>
          <cell r="H7" t="str">
            <v>SERVICIO DE AFINACION DE MOTOR PARA UNIDAD DE 6 Y 8 CILINDROS( SUBMARCA  F-150 XL,F250,F350,ECONOLINE,VAN ECONOLINE,VAN EXPREES).</v>
          </cell>
          <cell r="I7">
            <v>1</v>
          </cell>
          <cell r="J7" t="str">
            <v>SERVICIO</v>
          </cell>
          <cell r="K7">
            <v>3551</v>
          </cell>
          <cell r="L7" t="str">
            <v>N/A</v>
          </cell>
          <cell r="M7" t="str">
            <v>N/A</v>
          </cell>
          <cell r="N7" t="str">
            <v>N/A</v>
          </cell>
          <cell r="O7" t="str">
            <v>N/A</v>
          </cell>
          <cell r="P7" t="str">
            <v>BRENDA</v>
          </cell>
          <cell r="Q7">
            <v>46041</v>
          </cell>
          <cell r="R7" t="str">
            <v>CANCELADO</v>
          </cell>
          <cell r="S7" t="str">
            <v xml:space="preserve">SE ATIENDE CON EL FOLIO #29 A MODO DE REEMBOLSO </v>
          </cell>
        </row>
        <row r="8">
          <cell r="A8" t="str">
            <v>3/2026</v>
          </cell>
          <cell r="B8">
            <v>3</v>
          </cell>
          <cell r="C8" t="str">
            <v>COMPRA POR FONDO</v>
          </cell>
          <cell r="D8">
            <v>46049</v>
          </cell>
          <cell r="E8" t="str">
            <v>URGENCIAS PEDIATRIA</v>
          </cell>
          <cell r="F8" t="str">
            <v>UP/11/2026</v>
          </cell>
          <cell r="G8">
            <v>2541217034</v>
          </cell>
          <cell r="H8" t="str">
            <v>060.168.5365 TUBOS. ENDOTRAQUEALES SIN GLOBO. DE ELASTÓMERO DE SILICÓN TRANSPARENTE GRADUADOS CON MARCA RADIOPACA ESTÉRILES Y DESECHABLES. DIÁMETRO INTERNO: 4.0 MM CALIBRE: 16 FR. PIEZA</v>
          </cell>
          <cell r="I8">
            <v>240</v>
          </cell>
          <cell r="J8" t="str">
            <v>PIEZA</v>
          </cell>
          <cell r="K8">
            <v>2541</v>
          </cell>
          <cell r="L8" t="str">
            <v>N/A</v>
          </cell>
          <cell r="M8" t="str">
            <v>N/A</v>
          </cell>
          <cell r="N8" t="str">
            <v>N/A</v>
          </cell>
          <cell r="O8" t="str">
            <v>N/A</v>
          </cell>
          <cell r="P8" t="str">
            <v>BRENDA</v>
          </cell>
          <cell r="Q8">
            <v>46050</v>
          </cell>
          <cell r="R8" t="str">
            <v>CANCELADO</v>
          </cell>
          <cell r="S8" t="str">
            <v>CODIGO INACTIVO</v>
          </cell>
        </row>
        <row r="9">
          <cell r="A9" t="str">
            <v>3/2026</v>
          </cell>
          <cell r="B9">
            <v>3</v>
          </cell>
          <cell r="C9" t="str">
            <v>COMPRA POR FONDO</v>
          </cell>
          <cell r="D9">
            <v>46049</v>
          </cell>
          <cell r="E9" t="str">
            <v>URGENCIAS PEDIATRIA</v>
          </cell>
          <cell r="F9" t="str">
            <v>UP/11/2026</v>
          </cell>
          <cell r="G9">
            <v>2541024027</v>
          </cell>
          <cell r="H9" t="str">
            <v>CÁNULA NASAL PARA ADMINISTRACIÓN DE OXÍGENO TAMAÑO NEONATAL 06  FR, BIGOTERA 100% SILICÓN, PUNTAS NASALES AJUSTABLES. ESTERIL</v>
          </cell>
          <cell r="I9">
            <v>1200</v>
          </cell>
          <cell r="J9" t="str">
            <v>PIEZA</v>
          </cell>
          <cell r="K9">
            <v>2541</v>
          </cell>
          <cell r="L9" t="str">
            <v>N/A</v>
          </cell>
          <cell r="M9" t="str">
            <v>N/A</v>
          </cell>
          <cell r="N9" t="str">
            <v>N/A</v>
          </cell>
          <cell r="O9" t="str">
            <v>N/A</v>
          </cell>
          <cell r="P9" t="str">
            <v>BRENDA</v>
          </cell>
          <cell r="Q9">
            <v>46050</v>
          </cell>
          <cell r="R9" t="str">
            <v>CANCELADO</v>
          </cell>
          <cell r="S9" t="str">
            <v xml:space="preserve">POSIBILIDAD DE AMPLIACION DEL 20% EN LA LPN09/2025. SE SOLICITA APOYO A LOS ALMACENES </v>
          </cell>
        </row>
        <row r="10">
          <cell r="A10" t="str">
            <v>3/2026</v>
          </cell>
          <cell r="B10">
            <v>3</v>
          </cell>
          <cell r="C10" t="str">
            <v>COMPRA POR FONDO</v>
          </cell>
          <cell r="D10">
            <v>46049</v>
          </cell>
          <cell r="E10" t="str">
            <v>URGENCIAS PEDIATRIA</v>
          </cell>
          <cell r="F10" t="str">
            <v>UP/11/2026</v>
          </cell>
          <cell r="G10">
            <v>2541024187</v>
          </cell>
          <cell r="H10" t="str">
            <v>CANULA NASAL PEDIATRICA CON TUBO DESECHABLE, SOPORTE LABIAL FLEXIBLE (COJINETE), PUNTAS CURVAS FLEXIBLES, ANATOMICAMENTE DISEÑADAS, LIBRE DE LATEX, HIPOALERGENICO, CON MAYOR FLEXIBILIDAD PARA PERMITIR UNA MAYOR COMODIDAD Y SEGURIDAD</v>
          </cell>
          <cell r="I10">
            <v>1200</v>
          </cell>
          <cell r="J10" t="str">
            <v>PIEZA</v>
          </cell>
          <cell r="K10">
            <v>2541</v>
          </cell>
          <cell r="L10" t="str">
            <v>N/A</v>
          </cell>
          <cell r="M10" t="str">
            <v>N/A</v>
          </cell>
          <cell r="N10" t="str">
            <v>N/A</v>
          </cell>
          <cell r="O10" t="str">
            <v>N/A</v>
          </cell>
          <cell r="P10" t="str">
            <v>BRENDA</v>
          </cell>
          <cell r="Q10">
            <v>46050</v>
          </cell>
          <cell r="R10" t="str">
            <v>AUT CAA</v>
          </cell>
          <cell r="V10">
            <v>17.95</v>
          </cell>
          <cell r="W10">
            <v>21540</v>
          </cell>
          <cell r="X10">
            <v>3446.4</v>
          </cell>
          <cell r="Y10">
            <v>24986.400000000001</v>
          </cell>
          <cell r="Z10">
            <v>5</v>
          </cell>
          <cell r="AA10">
            <v>46070</v>
          </cell>
        </row>
        <row r="11">
          <cell r="A11" t="str">
            <v>3/2026</v>
          </cell>
          <cell r="B11">
            <v>3</v>
          </cell>
          <cell r="C11" t="str">
            <v>COMPRA POR FONDO</v>
          </cell>
          <cell r="D11">
            <v>46049</v>
          </cell>
          <cell r="E11" t="str">
            <v>URGENCIAS PEDIATRIA</v>
          </cell>
          <cell r="F11" t="str">
            <v>UP/11/2026</v>
          </cell>
          <cell r="G11">
            <v>2541027087</v>
          </cell>
          <cell r="H11" t="str">
            <v>CATETER VENOSO CENTRAL MULTILUMEN DE 4.2 FR. 3 LUMEN</v>
          </cell>
          <cell r="I11">
            <v>60</v>
          </cell>
          <cell r="J11" t="str">
            <v>PIEZA</v>
          </cell>
          <cell r="K11">
            <v>2541</v>
          </cell>
          <cell r="L11" t="str">
            <v>N/A</v>
          </cell>
          <cell r="M11" t="str">
            <v>N/A</v>
          </cell>
          <cell r="N11" t="str">
            <v>N/A</v>
          </cell>
          <cell r="O11" t="str">
            <v>N/A</v>
          </cell>
          <cell r="P11" t="str">
            <v>BRENDA</v>
          </cell>
          <cell r="Q11">
            <v>46050</v>
          </cell>
          <cell r="R11" t="str">
            <v>CANCELADO</v>
          </cell>
          <cell r="S11" t="str">
            <v>CODIGO INACTIVO</v>
          </cell>
        </row>
        <row r="12">
          <cell r="A12" t="str">
            <v>3/2026</v>
          </cell>
          <cell r="B12">
            <v>3</v>
          </cell>
          <cell r="C12" t="str">
            <v>COMPRA POR FONDO</v>
          </cell>
          <cell r="D12">
            <v>46049</v>
          </cell>
          <cell r="E12" t="str">
            <v>URGENCIAS PEDIATRIA</v>
          </cell>
          <cell r="F12" t="str">
            <v>UP/11/2026</v>
          </cell>
          <cell r="G12">
            <v>2541027036</v>
          </cell>
          <cell r="H12" t="str">
            <v>CATETER VENOSO CENTRAL POLIURETANO DE 3 VIAS PEDIATRICO NO. 5.5 PIEZA</v>
          </cell>
          <cell r="I12">
            <v>240</v>
          </cell>
          <cell r="J12" t="str">
            <v>PIEZA</v>
          </cell>
          <cell r="K12">
            <v>2541</v>
          </cell>
          <cell r="L12" t="str">
            <v>N/A</v>
          </cell>
          <cell r="M12" t="str">
            <v>N/A</v>
          </cell>
          <cell r="N12" t="str">
            <v>N/A</v>
          </cell>
          <cell r="O12" t="str">
            <v>N/A</v>
          </cell>
          <cell r="P12" t="str">
            <v>BRENDA</v>
          </cell>
          <cell r="Q12">
            <v>46050</v>
          </cell>
          <cell r="R12" t="str">
            <v>AUT CAA</v>
          </cell>
          <cell r="V12">
            <v>1540</v>
          </cell>
          <cell r="W12">
            <v>63140</v>
          </cell>
          <cell r="X12">
            <v>10102.4</v>
          </cell>
          <cell r="Y12">
            <v>73242.399999999994</v>
          </cell>
          <cell r="Z12">
            <v>5</v>
          </cell>
          <cell r="AA12">
            <v>46070</v>
          </cell>
        </row>
        <row r="13">
          <cell r="A13" t="str">
            <v>3/2026</v>
          </cell>
          <cell r="B13">
            <v>3</v>
          </cell>
          <cell r="C13" t="str">
            <v>COMPRA POR FONDO</v>
          </cell>
          <cell r="D13">
            <v>46049</v>
          </cell>
          <cell r="E13" t="str">
            <v>URGENCIAS PEDIATRIA</v>
          </cell>
          <cell r="F13" t="str">
            <v>UP/11/2026</v>
          </cell>
          <cell r="G13">
            <v>2541027081</v>
          </cell>
          <cell r="H13" t="str">
            <v>CATETER VENOSO CENTRAL MULTILUMEN DE 4.5FR 3 LUMEN</v>
          </cell>
          <cell r="I13">
            <v>240</v>
          </cell>
          <cell r="J13" t="str">
            <v>PIEZA</v>
          </cell>
          <cell r="K13">
            <v>2541</v>
          </cell>
          <cell r="L13" t="str">
            <v>N/A</v>
          </cell>
          <cell r="M13" t="str">
            <v>N/A</v>
          </cell>
          <cell r="N13" t="str">
            <v>N/A</v>
          </cell>
          <cell r="O13" t="str">
            <v>N/A</v>
          </cell>
          <cell r="P13" t="str">
            <v>BRENDA</v>
          </cell>
          <cell r="Q13">
            <v>46050</v>
          </cell>
          <cell r="R13" t="str">
            <v>COTIZACION</v>
          </cell>
        </row>
        <row r="14">
          <cell r="A14" t="str">
            <v>3/2026</v>
          </cell>
          <cell r="B14">
            <v>3</v>
          </cell>
          <cell r="C14" t="str">
            <v>COMPRA POR FONDO</v>
          </cell>
          <cell r="D14">
            <v>46049</v>
          </cell>
          <cell r="E14" t="str">
            <v>URGENCIAS PEDIATRIA</v>
          </cell>
          <cell r="F14" t="str">
            <v>UP/11/2026</v>
          </cell>
          <cell r="G14">
            <v>2541027096</v>
          </cell>
          <cell r="H14" t="str">
            <v>CATETER VENOSO CENTRAL MULTILUMEN DE 4.2 FR. 3 LUMEN</v>
          </cell>
          <cell r="I14">
            <v>60</v>
          </cell>
          <cell r="J14" t="str">
            <v>PIEZA</v>
          </cell>
          <cell r="K14">
            <v>2541</v>
          </cell>
          <cell r="L14" t="str">
            <v>N/A</v>
          </cell>
          <cell r="M14" t="str">
            <v>N/A</v>
          </cell>
          <cell r="N14" t="str">
            <v>N/A</v>
          </cell>
          <cell r="O14" t="str">
            <v>N/A</v>
          </cell>
          <cell r="P14" t="str">
            <v>BRENDA</v>
          </cell>
          <cell r="Q14">
            <v>46050</v>
          </cell>
          <cell r="R14" t="str">
            <v>COTIZACION</v>
          </cell>
        </row>
        <row r="15">
          <cell r="A15" t="str">
            <v>3/2026</v>
          </cell>
          <cell r="B15">
            <v>3</v>
          </cell>
          <cell r="C15" t="str">
            <v>COMPRA POR FONDO</v>
          </cell>
          <cell r="D15">
            <v>46049</v>
          </cell>
          <cell r="E15" t="str">
            <v>URGENCIAS PEDIATRIA</v>
          </cell>
          <cell r="F15" t="str">
            <v>UP/11/2026</v>
          </cell>
          <cell r="G15">
            <v>2541027168</v>
          </cell>
          <cell r="H15" t="str">
            <v>CATETER VENOSO CENTRAL CAL 5</v>
          </cell>
          <cell r="I15">
            <v>240</v>
          </cell>
          <cell r="J15" t="str">
            <v>PIEZA</v>
          </cell>
          <cell r="K15">
            <v>2541</v>
          </cell>
          <cell r="L15" t="str">
            <v>N/A</v>
          </cell>
          <cell r="M15" t="str">
            <v>N/A</v>
          </cell>
          <cell r="N15" t="str">
            <v>N/A</v>
          </cell>
          <cell r="O15" t="str">
            <v>N/A</v>
          </cell>
          <cell r="P15" t="str">
            <v>BRENDA</v>
          </cell>
          <cell r="Q15">
            <v>46050</v>
          </cell>
          <cell r="R15" t="str">
            <v>AUT CAA</v>
          </cell>
          <cell r="V15">
            <v>987</v>
          </cell>
          <cell r="W15">
            <v>64155</v>
          </cell>
          <cell r="X15">
            <v>10264.800000000001</v>
          </cell>
          <cell r="Y15">
            <v>74419.8</v>
          </cell>
          <cell r="Z15">
            <v>5</v>
          </cell>
          <cell r="AA15">
            <v>46070</v>
          </cell>
        </row>
        <row r="16">
          <cell r="A16" t="str">
            <v>3/2026</v>
          </cell>
          <cell r="B16">
            <v>3</v>
          </cell>
          <cell r="C16" t="str">
            <v>COMPRA POR FONDO</v>
          </cell>
          <cell r="D16">
            <v>46049</v>
          </cell>
          <cell r="E16" t="str">
            <v>URGENCIAS PEDIATRIA</v>
          </cell>
          <cell r="F16" t="str">
            <v>UP/11/2026</v>
          </cell>
          <cell r="G16">
            <v>2541027172</v>
          </cell>
          <cell r="H16" t="str">
            <v>CATETER VENOSO CENTRAL 4.5</v>
          </cell>
          <cell r="I16">
            <v>120</v>
          </cell>
          <cell r="J16" t="str">
            <v>PIEZA</v>
          </cell>
          <cell r="K16">
            <v>2541</v>
          </cell>
          <cell r="L16" t="str">
            <v>N/A</v>
          </cell>
          <cell r="M16" t="str">
            <v>N/A</v>
          </cell>
          <cell r="N16" t="str">
            <v>N/A</v>
          </cell>
          <cell r="O16" t="str">
            <v>N/A</v>
          </cell>
          <cell r="P16" t="str">
            <v>BRENDA</v>
          </cell>
          <cell r="Q16">
            <v>46050</v>
          </cell>
          <cell r="R16" t="str">
            <v>COTIZACION</v>
          </cell>
        </row>
        <row r="17">
          <cell r="A17" t="str">
            <v>3/2026</v>
          </cell>
          <cell r="B17">
            <v>3</v>
          </cell>
          <cell r="C17" t="str">
            <v>COMPRA POR FONDO</v>
          </cell>
          <cell r="D17">
            <v>46049</v>
          </cell>
          <cell r="E17" t="str">
            <v>URGENCIAS PEDIATRIA</v>
          </cell>
          <cell r="F17" t="str">
            <v>UP/11/2026</v>
          </cell>
          <cell r="G17">
            <v>2541070017</v>
          </cell>
          <cell r="H17" t="str">
            <v>MASCARILLA CON BOLSA RESERVORIO DE ALTA Y MEDIANA CONCENTRACION PARA PEDIATRICA 3 EN 1 PIEZA</v>
          </cell>
          <cell r="I17">
            <v>1920</v>
          </cell>
          <cell r="J17" t="str">
            <v>PIEZA</v>
          </cell>
          <cell r="K17">
            <v>2541</v>
          </cell>
          <cell r="L17" t="str">
            <v>N/A</v>
          </cell>
          <cell r="M17" t="str">
            <v>N/A</v>
          </cell>
          <cell r="N17" t="str">
            <v>N/A</v>
          </cell>
          <cell r="O17" t="str">
            <v>N/A</v>
          </cell>
          <cell r="P17" t="str">
            <v>BRENDA</v>
          </cell>
          <cell r="Q17">
            <v>46050</v>
          </cell>
          <cell r="R17" t="str">
            <v>AUT CAA</v>
          </cell>
          <cell r="X17">
            <v>0</v>
          </cell>
          <cell r="Y17">
            <v>0</v>
          </cell>
          <cell r="Z17">
            <v>5</v>
          </cell>
          <cell r="AA17">
            <v>46070</v>
          </cell>
        </row>
        <row r="18">
          <cell r="A18" t="str">
            <v>3/2026</v>
          </cell>
          <cell r="B18">
            <v>3</v>
          </cell>
          <cell r="C18" t="str">
            <v>COMPRA POR FONDO</v>
          </cell>
          <cell r="D18">
            <v>46049</v>
          </cell>
          <cell r="E18" t="str">
            <v>URGENCIAS PEDIATRIA</v>
          </cell>
          <cell r="F18" t="str">
            <v>UP/11/2026</v>
          </cell>
          <cell r="G18">
            <v>2541070047</v>
          </cell>
          <cell r="H18" t="str">
            <v>MASCARILLA LARINGEA 1</v>
          </cell>
          <cell r="I18">
            <v>48</v>
          </cell>
          <cell r="J18" t="str">
            <v>PIEZA</v>
          </cell>
          <cell r="K18">
            <v>2541</v>
          </cell>
          <cell r="L18" t="str">
            <v>N/A</v>
          </cell>
          <cell r="M18" t="str">
            <v>N/A</v>
          </cell>
          <cell r="N18" t="str">
            <v>N/A</v>
          </cell>
          <cell r="O18" t="str">
            <v>N/A</v>
          </cell>
          <cell r="P18" t="str">
            <v>BRENDA</v>
          </cell>
          <cell r="Q18">
            <v>46050</v>
          </cell>
          <cell r="R18" t="str">
            <v>AUT CAA</v>
          </cell>
          <cell r="V18">
            <v>220</v>
          </cell>
          <cell r="W18">
            <v>10560</v>
          </cell>
          <cell r="X18">
            <v>1689.6000000000001</v>
          </cell>
          <cell r="Y18">
            <v>12249.6</v>
          </cell>
          <cell r="Z18">
            <v>5</v>
          </cell>
          <cell r="AA18">
            <v>46070</v>
          </cell>
        </row>
        <row r="19">
          <cell r="A19" t="str">
            <v>3/2026</v>
          </cell>
          <cell r="B19">
            <v>3</v>
          </cell>
          <cell r="C19" t="str">
            <v>COMPRA POR FONDO</v>
          </cell>
          <cell r="D19">
            <v>46049</v>
          </cell>
          <cell r="E19" t="str">
            <v>URGENCIAS PEDIATRIA</v>
          </cell>
          <cell r="F19" t="str">
            <v>UP/11/2026</v>
          </cell>
          <cell r="G19">
            <v>2541900008</v>
          </cell>
          <cell r="H19" t="str">
            <v>MASCARILLA DE OXIGENO DESECHABLE 4 PAQUETES DE 10 PZAS CADA UNO</v>
          </cell>
          <cell r="I19">
            <v>1920</v>
          </cell>
          <cell r="J19" t="str">
            <v>PIEZA</v>
          </cell>
          <cell r="K19">
            <v>2541</v>
          </cell>
          <cell r="L19" t="str">
            <v>N/A</v>
          </cell>
          <cell r="M19" t="str">
            <v>N/A</v>
          </cell>
          <cell r="N19" t="str">
            <v>N/A</v>
          </cell>
          <cell r="O19" t="str">
            <v>N/A</v>
          </cell>
          <cell r="P19" t="str">
            <v>BRENDA</v>
          </cell>
          <cell r="Q19">
            <v>46050</v>
          </cell>
          <cell r="R19" t="str">
            <v>CANCELADO</v>
          </cell>
          <cell r="S19" t="str">
            <v>CODIGO INACTIVO</v>
          </cell>
        </row>
        <row r="20">
          <cell r="A20" t="str">
            <v>3/2026</v>
          </cell>
          <cell r="B20">
            <v>3</v>
          </cell>
          <cell r="C20" t="str">
            <v>COMPRA POR FONDO</v>
          </cell>
          <cell r="D20">
            <v>46049</v>
          </cell>
          <cell r="E20" t="str">
            <v>URGENCIAS PEDIATRIA</v>
          </cell>
          <cell r="F20" t="str">
            <v>UP/11/2026</v>
          </cell>
          <cell r="G20">
            <v>2541027092</v>
          </cell>
          <cell r="H20" t="str">
            <v>CATETER PARA DRENAJE TORAXICO CON GUIA NO.14FR PIEZA</v>
          </cell>
          <cell r="I20">
            <v>60</v>
          </cell>
          <cell r="J20" t="str">
            <v>PIEZA</v>
          </cell>
          <cell r="K20">
            <v>2541</v>
          </cell>
          <cell r="L20" t="str">
            <v>N/A</v>
          </cell>
          <cell r="M20" t="str">
            <v>N/A</v>
          </cell>
          <cell r="N20" t="str">
            <v>N/A</v>
          </cell>
          <cell r="O20" t="str">
            <v>N/A</v>
          </cell>
          <cell r="P20" t="str">
            <v>BRENDA</v>
          </cell>
          <cell r="Q20">
            <v>46050</v>
          </cell>
          <cell r="R20" t="str">
            <v>COTIZACION</v>
          </cell>
        </row>
        <row r="21">
          <cell r="A21" t="str">
            <v>3/2026</v>
          </cell>
          <cell r="B21">
            <v>3</v>
          </cell>
          <cell r="C21" t="str">
            <v>COMPRA POR FONDO</v>
          </cell>
          <cell r="D21">
            <v>46049</v>
          </cell>
          <cell r="E21" t="str">
            <v>URGENCIAS PEDIATRIA</v>
          </cell>
          <cell r="F21" t="str">
            <v>UP/11/2026</v>
          </cell>
          <cell r="G21">
            <v>2541086016</v>
          </cell>
          <cell r="H21" t="str">
            <v>TRAMPAS DE LEE 14 FR</v>
          </cell>
          <cell r="I21">
            <v>120</v>
          </cell>
          <cell r="J21" t="str">
            <v>PIEZA</v>
          </cell>
          <cell r="K21">
            <v>2541</v>
          </cell>
          <cell r="L21" t="str">
            <v>N/A</v>
          </cell>
          <cell r="M21" t="str">
            <v>N/A</v>
          </cell>
          <cell r="N21" t="str">
            <v>N/A</v>
          </cell>
          <cell r="O21" t="str">
            <v>N/A</v>
          </cell>
          <cell r="P21" t="str">
            <v>BRENDA</v>
          </cell>
          <cell r="Q21">
            <v>46050</v>
          </cell>
          <cell r="R21" t="str">
            <v>COTIZACION</v>
          </cell>
        </row>
        <row r="22">
          <cell r="A22" t="str">
            <v>3/2026</v>
          </cell>
          <cell r="B22">
            <v>3</v>
          </cell>
          <cell r="C22" t="str">
            <v>COMPRA POR FONDO</v>
          </cell>
          <cell r="D22">
            <v>46049</v>
          </cell>
          <cell r="E22" t="str">
            <v>URGENCIAS PEDIATRIA</v>
          </cell>
          <cell r="F22" t="str">
            <v>UP/11/2026</v>
          </cell>
          <cell r="G22">
            <v>2541088003</v>
          </cell>
          <cell r="H22" t="str">
            <v>SONDA DE FOLEY 2 VIAS CAL. 10 FR ESTERIL DESECHABLE. CON GLOBO 3ML PIEZA</v>
          </cell>
          <cell r="I22">
            <v>960</v>
          </cell>
          <cell r="J22" t="str">
            <v>PIEZA</v>
          </cell>
          <cell r="K22">
            <v>2541</v>
          </cell>
          <cell r="L22" t="str">
            <v>N/A</v>
          </cell>
          <cell r="M22" t="str">
            <v>N/A</v>
          </cell>
          <cell r="N22" t="str">
            <v>N/A</v>
          </cell>
          <cell r="O22" t="str">
            <v>N/A</v>
          </cell>
          <cell r="P22" t="str">
            <v>BRENDA</v>
          </cell>
          <cell r="Q22">
            <v>46050</v>
          </cell>
          <cell r="R22" t="str">
            <v>AUT CAA</v>
          </cell>
          <cell r="V22">
            <v>49.64</v>
          </cell>
          <cell r="W22">
            <v>47654.400000000001</v>
          </cell>
          <cell r="X22">
            <v>7624.7040000000006</v>
          </cell>
          <cell r="Y22">
            <v>55279.103999999999</v>
          </cell>
          <cell r="Z22">
            <v>5</v>
          </cell>
          <cell r="AA22">
            <v>46070</v>
          </cell>
        </row>
        <row r="23">
          <cell r="A23" t="str">
            <v>3/2026</v>
          </cell>
          <cell r="B23">
            <v>3</v>
          </cell>
          <cell r="C23" t="str">
            <v>COMPRA POR FONDO</v>
          </cell>
          <cell r="D23">
            <v>46049</v>
          </cell>
          <cell r="E23" t="str">
            <v>URGENCIAS PEDIATRIA</v>
          </cell>
          <cell r="F23" t="str">
            <v>UP/11/2026</v>
          </cell>
          <cell r="G23">
            <v>2541088011</v>
          </cell>
          <cell r="H23" t="str">
            <v>SONDA DE FOLEY 2 VIAS CAL. 8 FR ESTERIL DESECHABLE CON GLOBO 5 ML CON GUIA. PIEZA</v>
          </cell>
          <cell r="I23">
            <v>960</v>
          </cell>
          <cell r="J23" t="str">
            <v>PIEZA</v>
          </cell>
          <cell r="K23">
            <v>2541</v>
          </cell>
          <cell r="L23" t="str">
            <v>N/A</v>
          </cell>
          <cell r="M23" t="str">
            <v>N/A</v>
          </cell>
          <cell r="N23" t="str">
            <v>N/A</v>
          </cell>
          <cell r="O23" t="str">
            <v>N/A</v>
          </cell>
          <cell r="P23" t="str">
            <v>BRENDA</v>
          </cell>
          <cell r="Q23">
            <v>46050</v>
          </cell>
          <cell r="R23" t="str">
            <v>AUT CAA</v>
          </cell>
          <cell r="V23">
            <v>46.64</v>
          </cell>
          <cell r="W23">
            <v>47654.400000000001</v>
          </cell>
          <cell r="X23">
            <v>7624.7040000000006</v>
          </cell>
          <cell r="Y23">
            <v>55279.103999999999</v>
          </cell>
          <cell r="Z23">
            <v>5</v>
          </cell>
          <cell r="AA23">
            <v>46070</v>
          </cell>
        </row>
        <row r="24">
          <cell r="A24" t="str">
            <v>3/2026</v>
          </cell>
          <cell r="B24">
            <v>3</v>
          </cell>
          <cell r="C24" t="str">
            <v>COMPRA POR FONDO</v>
          </cell>
          <cell r="D24">
            <v>46049</v>
          </cell>
          <cell r="E24" t="str">
            <v>URGENCIAS PEDIATRIA</v>
          </cell>
          <cell r="F24" t="str">
            <v>UP/11/2026</v>
          </cell>
          <cell r="G24">
            <v>2541088024</v>
          </cell>
          <cell r="H24" t="str">
            <v>SONDA GASTROINTESTINAL TIPO LEVIN CALIBRE 8 FR.</v>
          </cell>
          <cell r="I24">
            <v>600</v>
          </cell>
          <cell r="J24" t="str">
            <v>PIEZA</v>
          </cell>
          <cell r="K24">
            <v>2541</v>
          </cell>
          <cell r="L24" t="str">
            <v>N/A</v>
          </cell>
          <cell r="M24" t="str">
            <v>N/A</v>
          </cell>
          <cell r="N24" t="str">
            <v>N/A</v>
          </cell>
          <cell r="O24" t="str">
            <v>N/A</v>
          </cell>
          <cell r="P24" t="str">
            <v>BRENDA</v>
          </cell>
          <cell r="Q24">
            <v>46050</v>
          </cell>
          <cell r="R24" t="str">
            <v>AUT CAA</v>
          </cell>
          <cell r="X24">
            <v>0</v>
          </cell>
          <cell r="Y24">
            <v>0</v>
          </cell>
          <cell r="Z24">
            <v>5</v>
          </cell>
          <cell r="AA24">
            <v>46070</v>
          </cell>
        </row>
        <row r="25">
          <cell r="A25" t="str">
            <v>3/2026</v>
          </cell>
          <cell r="B25">
            <v>3</v>
          </cell>
          <cell r="C25" t="str">
            <v>COMPRA POR FONDO</v>
          </cell>
          <cell r="D25">
            <v>46049</v>
          </cell>
          <cell r="E25" t="str">
            <v>URGENCIAS PEDIATRIA</v>
          </cell>
          <cell r="F25" t="str">
            <v>UP/11/2026</v>
          </cell>
          <cell r="G25">
            <v>2541088028</v>
          </cell>
          <cell r="H25" t="str">
            <v>SONDA PARA ADMINISTRACION DE OXIGENO NO. 725.</v>
          </cell>
          <cell r="I25">
            <v>480</v>
          </cell>
          <cell r="J25" t="str">
            <v>PIEZA</v>
          </cell>
          <cell r="K25">
            <v>2541</v>
          </cell>
          <cell r="L25" t="str">
            <v>N/A</v>
          </cell>
          <cell r="M25" t="str">
            <v>N/A</v>
          </cell>
          <cell r="N25" t="str">
            <v>N/A</v>
          </cell>
          <cell r="O25" t="str">
            <v>N/A</v>
          </cell>
          <cell r="P25" t="str">
            <v>BRENDA</v>
          </cell>
          <cell r="Q25">
            <v>46050</v>
          </cell>
          <cell r="R25" t="str">
            <v>AUT CAA</v>
          </cell>
          <cell r="V25">
            <v>63.73</v>
          </cell>
          <cell r="W25">
            <v>30590.400000000001</v>
          </cell>
          <cell r="X25">
            <v>4894.4639999999999</v>
          </cell>
          <cell r="Y25">
            <v>35484.864000000001</v>
          </cell>
          <cell r="Z25">
            <v>5</v>
          </cell>
          <cell r="AA25">
            <v>46070</v>
          </cell>
        </row>
        <row r="26">
          <cell r="A26" t="str">
            <v>3/2026</v>
          </cell>
          <cell r="B26">
            <v>3</v>
          </cell>
          <cell r="C26" t="str">
            <v>COMPRA POR FONDO</v>
          </cell>
          <cell r="D26">
            <v>46049</v>
          </cell>
          <cell r="E26" t="str">
            <v>URGENCIAS PEDIATRIA</v>
          </cell>
          <cell r="F26" t="str">
            <v>UP/11/2026</v>
          </cell>
          <cell r="G26">
            <v>2541224001</v>
          </cell>
          <cell r="H26" t="str">
            <v>060.165.0690 CÁNULAS. PARA DRENAJE TORÁCICO RECTA CON MARCA RADIOPACA. CALIBRE: 10 FR. PIEZA.</v>
          </cell>
          <cell r="I26">
            <v>60</v>
          </cell>
          <cell r="J26" t="str">
            <v>PIEZA</v>
          </cell>
          <cell r="K26">
            <v>2541</v>
          </cell>
          <cell r="L26" t="str">
            <v>N/A</v>
          </cell>
          <cell r="M26" t="str">
            <v>N/A</v>
          </cell>
          <cell r="N26" t="str">
            <v>N/A</v>
          </cell>
          <cell r="O26" t="str">
            <v>N/A</v>
          </cell>
          <cell r="P26" t="str">
            <v>BRENDA</v>
          </cell>
          <cell r="Q26">
            <v>46050</v>
          </cell>
          <cell r="R26" t="str">
            <v>COTIZACION</v>
          </cell>
        </row>
        <row r="27">
          <cell r="A27" t="str">
            <v>3/2026</v>
          </cell>
          <cell r="B27">
            <v>3</v>
          </cell>
          <cell r="C27" t="str">
            <v>COMPRA POR FONDO</v>
          </cell>
          <cell r="D27">
            <v>46049</v>
          </cell>
          <cell r="E27" t="str">
            <v>URGENCIAS PEDIATRIA</v>
          </cell>
          <cell r="F27" t="str">
            <v>UP/11/2026</v>
          </cell>
          <cell r="G27">
            <v>2541224003</v>
          </cell>
          <cell r="H27" t="str">
            <v>060.165.0716 CÁNULAS. PARA DRENAJE TORÁCICO RECTA CON MARCA RADIOPACA. CALIBRE: 14 FR. PIEZA.</v>
          </cell>
          <cell r="I27">
            <v>60</v>
          </cell>
          <cell r="J27" t="str">
            <v>PIEZA</v>
          </cell>
          <cell r="K27">
            <v>2541</v>
          </cell>
          <cell r="L27" t="str">
            <v>N/A</v>
          </cell>
          <cell r="M27" t="str">
            <v>N/A</v>
          </cell>
          <cell r="N27" t="str">
            <v>N/A</v>
          </cell>
          <cell r="O27" t="str">
            <v>N/A</v>
          </cell>
          <cell r="P27" t="str">
            <v>BRENDA</v>
          </cell>
          <cell r="Q27">
            <v>46050</v>
          </cell>
          <cell r="R27" t="str">
            <v>COTIZACION</v>
          </cell>
        </row>
        <row r="28">
          <cell r="A28" t="str">
            <v>3/2026</v>
          </cell>
          <cell r="B28">
            <v>3</v>
          </cell>
          <cell r="C28" t="str">
            <v>COMPRA POR FONDO</v>
          </cell>
          <cell r="D28">
            <v>46049</v>
          </cell>
          <cell r="E28" t="str">
            <v>URGENCIAS PEDIATRIA</v>
          </cell>
          <cell r="F28" t="str">
            <v>UP/11/2026</v>
          </cell>
          <cell r="G28">
            <v>2541227416</v>
          </cell>
          <cell r="H28" t="str">
            <v>060.167.5010 CATÉTERES. PARA SUMINISTRO DE OXÍGENO. CON TUBO DE CONEXIÓN Y CÁNULA NASAL. DE PLÁSTICO CON DIÁMETRO INTERNO DE 2.0 MM. LONGITUD 180 CM. PIEZA.</v>
          </cell>
          <cell r="I28">
            <v>600</v>
          </cell>
          <cell r="J28" t="str">
            <v>PIEZA</v>
          </cell>
          <cell r="K28">
            <v>2541</v>
          </cell>
          <cell r="L28" t="str">
            <v>N/A</v>
          </cell>
          <cell r="M28" t="str">
            <v>N/A</v>
          </cell>
          <cell r="N28" t="str">
            <v>N/A</v>
          </cell>
          <cell r="O28" t="str">
            <v>N/A</v>
          </cell>
          <cell r="P28" t="str">
            <v>BRENDA</v>
          </cell>
          <cell r="Q28">
            <v>46050</v>
          </cell>
          <cell r="R28" t="str">
            <v>AUT CAA</v>
          </cell>
          <cell r="V28">
            <v>7.5</v>
          </cell>
          <cell r="W28">
            <v>4500</v>
          </cell>
          <cell r="X28">
            <v>720</v>
          </cell>
          <cell r="Y28">
            <v>5220</v>
          </cell>
          <cell r="Z28">
            <v>5</v>
          </cell>
          <cell r="AA28">
            <v>46070</v>
          </cell>
        </row>
        <row r="29">
          <cell r="A29" t="str">
            <v>3/2026</v>
          </cell>
          <cell r="B29">
            <v>3</v>
          </cell>
          <cell r="C29" t="str">
            <v>COMPRA POR FONDO</v>
          </cell>
          <cell r="D29">
            <v>46049</v>
          </cell>
          <cell r="E29" t="str">
            <v>URGENCIAS PEDIATRIA</v>
          </cell>
          <cell r="F29" t="str">
            <v>UP/11/2026</v>
          </cell>
          <cell r="G29">
            <v>2541270001</v>
          </cell>
          <cell r="H29" t="str">
            <v>060.621.0482 MASCARILLAS. DESECHABLE PARA ADMINISTRACIÓN DE OXÍGENO CON TUBO DE CONEXIÓN DE 180 CM Y ADAPTADOR. PIEZA.</v>
          </cell>
          <cell r="I29">
            <v>1920</v>
          </cell>
          <cell r="J29" t="str">
            <v>PIEZA</v>
          </cell>
          <cell r="K29">
            <v>2541</v>
          </cell>
          <cell r="L29" t="str">
            <v>N/A</v>
          </cell>
          <cell r="M29" t="str">
            <v>N/A</v>
          </cell>
          <cell r="N29" t="str">
            <v>N/A</v>
          </cell>
          <cell r="O29" t="str">
            <v>N/A</v>
          </cell>
          <cell r="P29" t="str">
            <v>BRENDA</v>
          </cell>
          <cell r="Q29">
            <v>46050</v>
          </cell>
          <cell r="R29" t="str">
            <v>AUT CAA</v>
          </cell>
          <cell r="V29">
            <v>17.95</v>
          </cell>
          <cell r="W29">
            <v>34464</v>
          </cell>
          <cell r="X29">
            <v>5514.24</v>
          </cell>
          <cell r="Y29">
            <v>39978.239999999998</v>
          </cell>
          <cell r="Z29">
            <v>5</v>
          </cell>
          <cell r="AA29">
            <v>46070</v>
          </cell>
        </row>
        <row r="30">
          <cell r="A30" t="str">
            <v>3/2026</v>
          </cell>
          <cell r="B30">
            <v>3</v>
          </cell>
          <cell r="C30" t="str">
            <v>COMPRA POR FONDO</v>
          </cell>
          <cell r="D30">
            <v>46049</v>
          </cell>
          <cell r="E30" t="str">
            <v>URGENCIAS PEDIATRIA</v>
          </cell>
          <cell r="F30" t="str">
            <v>UP/11/2026</v>
          </cell>
          <cell r="G30">
            <v>2551201893</v>
          </cell>
          <cell r="H30" t="str">
            <v>080.560.0145 JERINGAS. DESECHABLE DE 3 ML. ESTÉRIL CON HEPARINA PARA OBTENCIÓN DE SANGRE ARTERIAL CON TAPÓN PARA LA AGUJA Y TAPÓN PARA LA JERINGA.  AGUJA DE 23 G X 25 MM. PIEZA.</v>
          </cell>
          <cell r="I30">
            <v>1200</v>
          </cell>
          <cell r="J30" t="str">
            <v>PIEZA</v>
          </cell>
          <cell r="K30">
            <v>2551</v>
          </cell>
          <cell r="L30" t="str">
            <v>N/A</v>
          </cell>
          <cell r="M30" t="str">
            <v>N/A</v>
          </cell>
          <cell r="N30" t="str">
            <v>N/A</v>
          </cell>
          <cell r="O30" t="str">
            <v>N/A</v>
          </cell>
          <cell r="P30" t="str">
            <v>BRENDA</v>
          </cell>
          <cell r="Q30">
            <v>46050</v>
          </cell>
          <cell r="R30" t="str">
            <v>CANCELADO</v>
          </cell>
          <cell r="S30" t="str">
            <v>POSIBILIDAD DE AMPLIACION DEL 20% EN LA LPN25/2025.SE SOLICITA APOYO A LOS ALMACENES</v>
          </cell>
        </row>
        <row r="31">
          <cell r="A31" t="str">
            <v>3/2026</v>
          </cell>
          <cell r="B31">
            <v>3</v>
          </cell>
          <cell r="C31" t="str">
            <v>COMPRA POR FONDO</v>
          </cell>
          <cell r="D31">
            <v>46049</v>
          </cell>
          <cell r="E31" t="str">
            <v>URGENCIAS PEDIATRIA</v>
          </cell>
          <cell r="F31" t="str">
            <v>UP/11/2026</v>
          </cell>
          <cell r="G31">
            <v>2551201894</v>
          </cell>
          <cell r="H31" t="str">
            <v>080.560.0152 JERINGAS. DESECHABLE ESTÉRIL DE 1 ML. CON HEPARINA PARA LA OBTENCIÓN DE SANGRE ARTERIAL CON TAPÓN PARA LA AGUJA Y TAPÓN PARA LA JERINGA. AGUJA DE 25 G X 15 MM Y 16 MM. PIEZA.</v>
          </cell>
          <cell r="I31">
            <v>1200</v>
          </cell>
          <cell r="J31" t="str">
            <v>PIEZA</v>
          </cell>
          <cell r="K31">
            <v>2551</v>
          </cell>
          <cell r="L31" t="str">
            <v>N/A</v>
          </cell>
          <cell r="M31" t="str">
            <v>N/A</v>
          </cell>
          <cell r="N31" t="str">
            <v>N/A</v>
          </cell>
          <cell r="O31" t="str">
            <v>N/A</v>
          </cell>
          <cell r="P31" t="str">
            <v>BRENDA</v>
          </cell>
          <cell r="Q31">
            <v>46050</v>
          </cell>
          <cell r="R31" t="str">
            <v>CANCELADO</v>
          </cell>
          <cell r="S31" t="str">
            <v xml:space="preserve">POSIBILIDAD DE AMPLIACION DEL 20% EN LA LPN25/2025. SE SOLICITA APOYO A LOS ALMACENES </v>
          </cell>
        </row>
        <row r="32">
          <cell r="A32" t="str">
            <v>4/2026</v>
          </cell>
          <cell r="B32">
            <v>4</v>
          </cell>
          <cell r="C32" t="str">
            <v>COMPRA POR FONDO</v>
          </cell>
          <cell r="D32">
            <v>46037</v>
          </cell>
          <cell r="E32" t="str">
            <v>ALMACEN DE AREAS QUIRURGICAS</v>
          </cell>
          <cell r="F32" t="str">
            <v>AAQX07/15/01/2026</v>
          </cell>
          <cell r="G32">
            <v>2541234004</v>
          </cell>
          <cell r="H32" t="str">
            <v>060.371.2506 ESPONJAS NEUROQUIRÚRGICAS. DE ALGODÓN PRENSADO O RAYÓN NO TEJIDO CON MARCA RADIOPACA. ESTÉRILES. MEDIDAS: 25.0 X 76.0 MM. ENVASE CON 10 PIEZAS.</v>
          </cell>
          <cell r="I32">
            <v>800</v>
          </cell>
          <cell r="J32" t="str">
            <v>PIEZA</v>
          </cell>
          <cell r="K32">
            <v>2541</v>
          </cell>
          <cell r="L32" t="str">
            <v>N/A</v>
          </cell>
          <cell r="M32" t="str">
            <v>N/A</v>
          </cell>
          <cell r="N32" t="str">
            <v>N/A</v>
          </cell>
          <cell r="O32" t="str">
            <v>N/A</v>
          </cell>
          <cell r="P32" t="str">
            <v>BRENDA</v>
          </cell>
          <cell r="Q32">
            <v>46041</v>
          </cell>
          <cell r="R32" t="str">
            <v>RECURSOS FINANCIEROS</v>
          </cell>
          <cell r="T32" t="str">
            <v>318/2026</v>
          </cell>
          <cell r="U32">
            <v>46057</v>
          </cell>
          <cell r="V32">
            <v>76</v>
          </cell>
          <cell r="W32">
            <v>60800</v>
          </cell>
          <cell r="X32">
            <v>9728</v>
          </cell>
          <cell r="Y32">
            <v>70528</v>
          </cell>
          <cell r="Z32">
            <v>1</v>
          </cell>
          <cell r="AA32">
            <v>46050</v>
          </cell>
          <cell r="AB32">
            <v>46064</v>
          </cell>
          <cell r="AC32">
            <v>1</v>
          </cell>
          <cell r="AD32">
            <v>800</v>
          </cell>
          <cell r="AE32">
            <v>53</v>
          </cell>
          <cell r="AF32">
            <v>46057</v>
          </cell>
          <cell r="AG32" t="str">
            <v>PROMEDICA GARCIA SA DE CV</v>
          </cell>
          <cell r="AH32" t="str">
            <v>ENTREGADO</v>
          </cell>
          <cell r="AI32">
            <v>46065</v>
          </cell>
          <cell r="AJ32">
            <v>450373</v>
          </cell>
          <cell r="AK32">
            <v>46065</v>
          </cell>
          <cell r="AL32">
            <v>46090</v>
          </cell>
          <cell r="AM32">
            <v>46101</v>
          </cell>
          <cell r="AN32">
            <v>46105</v>
          </cell>
        </row>
        <row r="33">
          <cell r="A33" t="str">
            <v>5/2026</v>
          </cell>
          <cell r="B33">
            <v>5</v>
          </cell>
          <cell r="C33" t="str">
            <v>COMPRA POR FONDO</v>
          </cell>
          <cell r="D33">
            <v>46037</v>
          </cell>
          <cell r="E33" t="str">
            <v>ALMACEN DE AREAS QUIRURGICAS</v>
          </cell>
          <cell r="F33" t="str">
            <v>AAQX05/15/01/2026</v>
          </cell>
          <cell r="G33">
            <v>2541294008</v>
          </cell>
          <cell r="H33" t="str">
            <v>060.869.0202 TELAS ADHESIVAS. DE ACETATO CON ADHESIVO EN UNA DE SUS CARAS. LONGITUD: 10 M. ANCHO: 5.00 CM. PRESENTACIÓN: 6 PIEZAS.</v>
          </cell>
          <cell r="I33">
            <v>7200</v>
          </cell>
          <cell r="J33" t="str">
            <v>PIEZA</v>
          </cell>
          <cell r="K33">
            <v>2541</v>
          </cell>
          <cell r="L33" t="str">
            <v>N/A</v>
          </cell>
          <cell r="M33" t="str">
            <v>N/A</v>
          </cell>
          <cell r="N33" t="str">
            <v>N/A</v>
          </cell>
          <cell r="O33" t="str">
            <v>N/A</v>
          </cell>
          <cell r="P33" t="str">
            <v>BRENDA</v>
          </cell>
          <cell r="Q33">
            <v>46041</v>
          </cell>
          <cell r="R33" t="str">
            <v>CANCELADO</v>
          </cell>
          <cell r="S33" t="str">
            <v xml:space="preserve">DE ACUERDO A LA RESPUESTA EMITIDA VIA CORREO POR PARTE DE LA CGA NOS INDICAN QUE SE ENCUENTRAN DISPONIBLES MEDIANTE AMPLIACION DEL 20%, UNA VEZ AGOTADO DICHO CONTRATO SE PODRA PROCEDER CON LA COMPRA MEDIANTE FONDO REVOLVENTE </v>
          </cell>
        </row>
        <row r="34">
          <cell r="A34" t="str">
            <v>6/2026</v>
          </cell>
          <cell r="B34">
            <v>6</v>
          </cell>
          <cell r="C34" t="str">
            <v>COMPRA POR FONDO</v>
          </cell>
          <cell r="D34">
            <v>46037</v>
          </cell>
          <cell r="E34" t="str">
            <v>ALMACEN DE AREAS QUIRURGICAS</v>
          </cell>
          <cell r="F34" t="str">
            <v>AAQX03/15/01/2026</v>
          </cell>
          <cell r="G34">
            <v>2541227551</v>
          </cell>
          <cell r="H34" t="str">
            <v>060.168.6603 CATÉTERES. PARA VENOCLISIS. DE FLUOROPOLÍMEROS (POLITETRAFLUORETILENO FLUORETILENPROPILENO Y ETILENTRIFLUORETILENO) O POLIURETANO RADIOPACO CON AGUJA. LONGITUD: 46-52 MM CALIBRE: 14 G. ENVASE CON 50 PIEZAS.*PARA LA ADQUISICIÓN DE ESTAS C</v>
          </cell>
          <cell r="I34">
            <v>3000</v>
          </cell>
          <cell r="J34" t="str">
            <v>PIEZA</v>
          </cell>
          <cell r="K34">
            <v>2541</v>
          </cell>
          <cell r="L34" t="str">
            <v>N/A</v>
          </cell>
          <cell r="M34" t="str">
            <v>N/A</v>
          </cell>
          <cell r="N34" t="str">
            <v>N/A</v>
          </cell>
          <cell r="O34" t="str">
            <v>N/A</v>
          </cell>
          <cell r="P34" t="str">
            <v>BRENDA</v>
          </cell>
          <cell r="Q34">
            <v>46041</v>
          </cell>
          <cell r="R34" t="str">
            <v>RECURSOS FINANCIEROS</v>
          </cell>
          <cell r="T34" t="str">
            <v>319/2026</v>
          </cell>
          <cell r="U34">
            <v>46057</v>
          </cell>
          <cell r="V34">
            <v>7.2</v>
          </cell>
          <cell r="W34">
            <v>21600</v>
          </cell>
          <cell r="X34">
            <v>3456</v>
          </cell>
          <cell r="Y34">
            <v>25056</v>
          </cell>
          <cell r="Z34">
            <v>1</v>
          </cell>
          <cell r="AA34">
            <v>46050</v>
          </cell>
          <cell r="AB34">
            <v>46064</v>
          </cell>
          <cell r="AC34">
            <v>1</v>
          </cell>
          <cell r="AD34">
            <v>3000</v>
          </cell>
          <cell r="AE34">
            <v>52</v>
          </cell>
          <cell r="AF34">
            <v>46057</v>
          </cell>
          <cell r="AG34" t="str">
            <v>FOREFRONT HEALT SA DE CV</v>
          </cell>
          <cell r="AH34" t="str">
            <v>ENTREGADO</v>
          </cell>
          <cell r="AI34">
            <v>46070</v>
          </cell>
          <cell r="AJ34">
            <v>36</v>
          </cell>
          <cell r="AK34">
            <v>46065</v>
          </cell>
          <cell r="AL34">
            <v>46090</v>
          </cell>
        </row>
        <row r="35">
          <cell r="A35" t="str">
            <v>7/2026</v>
          </cell>
          <cell r="B35">
            <v>7</v>
          </cell>
          <cell r="C35" t="str">
            <v>COMPRA POR FONDO</v>
          </cell>
          <cell r="D35">
            <v>46037</v>
          </cell>
          <cell r="E35" t="str">
            <v>ALMACEN DE AREAS QUIRURGICAS</v>
          </cell>
          <cell r="F35" t="str">
            <v>AAQX04/15/01/2026</v>
          </cell>
          <cell r="G35">
            <v>2541227552</v>
          </cell>
          <cell r="H35" t="str">
            <v>060.168.6629 CATÉTERES. PARA VENOCLISIS. DE FLUOROPOLÍMEROS (POLITETRAFLUORETILENO FLUORETILENPROPILENO Y ETILENTRIFLUORETILENO) O POLIURETANO RADIOPACO CON AGUJA. LONGITUD: 46-52 MM CALIBRE: 16 G.ENVASE CON 50 PIEZAS.*PARA LA ADQUISICIÓN DE ESTAS CL</v>
          </cell>
          <cell r="I35">
            <v>3000</v>
          </cell>
          <cell r="J35" t="str">
            <v>PIEZA</v>
          </cell>
          <cell r="K35">
            <v>2541</v>
          </cell>
          <cell r="L35" t="str">
            <v>N/A</v>
          </cell>
          <cell r="M35" t="str">
            <v>N/A</v>
          </cell>
          <cell r="N35" t="str">
            <v>N/A</v>
          </cell>
          <cell r="O35" t="str">
            <v>N/A</v>
          </cell>
          <cell r="P35" t="str">
            <v>BRENDA</v>
          </cell>
          <cell r="Q35">
            <v>46041</v>
          </cell>
          <cell r="R35" t="str">
            <v>RECURSOS FINANCIEROS</v>
          </cell>
          <cell r="T35" t="str">
            <v>320/2026</v>
          </cell>
          <cell r="U35">
            <v>46057</v>
          </cell>
          <cell r="V35">
            <v>7.2</v>
          </cell>
          <cell r="W35">
            <v>21600</v>
          </cell>
          <cell r="X35">
            <v>3456</v>
          </cell>
          <cell r="Y35">
            <v>25056</v>
          </cell>
          <cell r="Z35">
            <v>1</v>
          </cell>
          <cell r="AA35">
            <v>46050</v>
          </cell>
          <cell r="AB35">
            <v>46064</v>
          </cell>
          <cell r="AC35">
            <v>1</v>
          </cell>
          <cell r="AD35">
            <v>3000</v>
          </cell>
          <cell r="AE35">
            <v>51</v>
          </cell>
          <cell r="AF35">
            <v>46057</v>
          </cell>
          <cell r="AG35" t="str">
            <v>FOREFRONT HEALT SA DE CV</v>
          </cell>
          <cell r="AH35" t="str">
            <v>ENTREGADO</v>
          </cell>
          <cell r="AI35">
            <v>46070</v>
          </cell>
          <cell r="AJ35">
            <v>35</v>
          </cell>
          <cell r="AK35">
            <v>46065</v>
          </cell>
          <cell r="AL35">
            <v>46090</v>
          </cell>
        </row>
        <row r="36">
          <cell r="A36" t="str">
            <v>8/2026</v>
          </cell>
          <cell r="B36">
            <v>8</v>
          </cell>
          <cell r="C36" t="str">
            <v>COMPRA POR FONDO</v>
          </cell>
          <cell r="D36">
            <v>46037</v>
          </cell>
          <cell r="E36" t="str">
            <v>ALMACEN DE AREAS QUIRURGICAS</v>
          </cell>
          <cell r="F36" t="str">
            <v>AAQX01/15/01/2026</v>
          </cell>
          <cell r="G36">
            <v>2541078003</v>
          </cell>
          <cell r="H36" t="str">
            <v>PLACA DESECHABLE PARA MONITOREO CON CABLE INCLUIDO TIPO UNIVERSAL VERDE PIEZA ( C/40 )</v>
          </cell>
          <cell r="I36">
            <v>24000</v>
          </cell>
          <cell r="J36" t="str">
            <v>PIEZA</v>
          </cell>
          <cell r="K36">
            <v>2541</v>
          </cell>
          <cell r="L36" t="str">
            <v>N/A</v>
          </cell>
          <cell r="M36" t="str">
            <v>N/A</v>
          </cell>
          <cell r="N36" t="str">
            <v>N/A</v>
          </cell>
          <cell r="O36" t="str">
            <v>N/A</v>
          </cell>
          <cell r="P36" t="str">
            <v>BRENDA</v>
          </cell>
          <cell r="Q36">
            <v>46041</v>
          </cell>
          <cell r="R36" t="str">
            <v>CANCELADO</v>
          </cell>
          <cell r="S36" t="str">
            <v xml:space="preserve">DE ACUERDO A LA RESPUESTA EMITIDA VIA CORREO POR PARTE DE LA CGA NOS INDICAN QUE SE ENCUENTRAN DISPONIBLES MEDIANTE AMPLIACION DEL 20%, UNA VEZ AGOTADO DICHO CONTRATO SE PODRA PROCEDER CON LA COMPRA MEDIANTE FONDO REVOLVENTE </v>
          </cell>
        </row>
        <row r="37">
          <cell r="A37" t="str">
            <v>9/2026</v>
          </cell>
          <cell r="B37">
            <v>9</v>
          </cell>
          <cell r="C37" t="str">
            <v>COMPRA POR FONDO</v>
          </cell>
          <cell r="D37">
            <v>46037</v>
          </cell>
          <cell r="E37" t="str">
            <v>ALMACEN DE AREAS QUIRURGICAS</v>
          </cell>
          <cell r="F37" t="str">
            <v>AAQX02/15/01/2026</v>
          </cell>
          <cell r="G37">
            <v>2541084006</v>
          </cell>
          <cell r="H37" t="str">
            <v>ROLLO DE BOLSA TYVEK CON CINTA TESTIGO PARA PEROXIDO DE HIDROGENO MEDIDAS 300MM X 70 MM C/4 PIEZAS</v>
          </cell>
          <cell r="I37">
            <v>300</v>
          </cell>
          <cell r="J37" t="str">
            <v>CAJA</v>
          </cell>
          <cell r="K37">
            <v>2541</v>
          </cell>
          <cell r="L37" t="str">
            <v>N/A</v>
          </cell>
          <cell r="M37" t="str">
            <v>N/A</v>
          </cell>
          <cell r="N37" t="str">
            <v>N/A</v>
          </cell>
          <cell r="O37" t="str">
            <v>N/A</v>
          </cell>
          <cell r="P37" t="str">
            <v>BRENDA</v>
          </cell>
          <cell r="Q37">
            <v>46041</v>
          </cell>
          <cell r="R37" t="str">
            <v>CANCELADO</v>
          </cell>
          <cell r="S37" t="str">
            <v xml:space="preserve">DE ACUERDO A LA RESPUESTA EMITIDA VIA CORREO POR PARTE DE LA CGA NOS INDICAN QUE SE ENCUENTRAN DISPONIBLES MEDIANTE AMPLIACION DEL 20%, UNA VEZ AGOTADO DICHO CONTRATO SE PODRA PROCEDER CON LA COMPRA MEDIANTE FONDO REVOLVENTE </v>
          </cell>
        </row>
        <row r="38">
          <cell r="A38" t="str">
            <v>10/2026</v>
          </cell>
          <cell r="B38">
            <v>10</v>
          </cell>
          <cell r="C38" t="str">
            <v>COMPRA POR FONDO</v>
          </cell>
          <cell r="D38">
            <v>46037</v>
          </cell>
          <cell r="E38" t="str">
            <v>COORDINACION ADMINISTRATIVA</v>
          </cell>
          <cell r="F38" t="str">
            <v>AHCGSA/46/2026</v>
          </cell>
          <cell r="G38">
            <v>2531176003</v>
          </cell>
          <cell r="H38" t="str">
            <v>BACLOFENO 20 MGS.</v>
          </cell>
          <cell r="I38">
            <v>200</v>
          </cell>
          <cell r="J38" t="str">
            <v>TABLETA</v>
          </cell>
          <cell r="K38">
            <v>2531</v>
          </cell>
          <cell r="L38" t="str">
            <v>N/A</v>
          </cell>
          <cell r="M38" t="str">
            <v>N/A</v>
          </cell>
          <cell r="N38" t="str">
            <v>N/A</v>
          </cell>
          <cell r="O38" t="str">
            <v>N/A</v>
          </cell>
          <cell r="P38" t="str">
            <v>BRENDA</v>
          </cell>
          <cell r="Q38">
            <v>46041</v>
          </cell>
          <cell r="R38" t="str">
            <v>RECURSOS FINANCIEROS</v>
          </cell>
          <cell r="T38" t="str">
            <v>339/2026</v>
          </cell>
          <cell r="U38">
            <v>46058</v>
          </cell>
          <cell r="V38">
            <v>58.43</v>
          </cell>
          <cell r="W38">
            <v>12270.3</v>
          </cell>
          <cell r="Y38">
            <v>12270.3</v>
          </cell>
          <cell r="Z38">
            <v>2</v>
          </cell>
          <cell r="AA38">
            <v>46059</v>
          </cell>
          <cell r="AB38">
            <v>46077</v>
          </cell>
          <cell r="AC38">
            <v>3</v>
          </cell>
          <cell r="AD38">
            <v>210</v>
          </cell>
          <cell r="AE38">
            <v>57</v>
          </cell>
          <cell r="AF38">
            <v>46058</v>
          </cell>
          <cell r="AG38" t="str">
            <v>DISTRIBUCION ESPECIALIZADA DE MEDICAMENTOS SA DE CV</v>
          </cell>
          <cell r="AH38" t="str">
            <v>ENTREGADO</v>
          </cell>
          <cell r="AI38">
            <v>46063</v>
          </cell>
          <cell r="AJ38">
            <v>500042490</v>
          </cell>
          <cell r="AK38">
            <v>46063</v>
          </cell>
          <cell r="AL38">
            <v>46090</v>
          </cell>
          <cell r="AM38">
            <v>46101</v>
          </cell>
          <cell r="AN38">
            <v>46105</v>
          </cell>
        </row>
        <row r="39">
          <cell r="A39" t="str">
            <v>10/2026</v>
          </cell>
          <cell r="B39">
            <v>10</v>
          </cell>
          <cell r="C39" t="str">
            <v>COMPRA POR FONDO</v>
          </cell>
          <cell r="D39">
            <v>46038</v>
          </cell>
          <cell r="E39" t="str">
            <v>COORDINACION ADMINISTRATIVA</v>
          </cell>
          <cell r="F39" t="str">
            <v>AHCGSA/46/2026</v>
          </cell>
          <cell r="G39">
            <v>2531900005</v>
          </cell>
          <cell r="H39" t="str">
            <v>ACETILCISTEÍNA 600 MG.</v>
          </cell>
          <cell r="I39">
            <v>10</v>
          </cell>
          <cell r="J39" t="str">
            <v>FRASCO</v>
          </cell>
          <cell r="K39">
            <v>2531</v>
          </cell>
          <cell r="L39" t="str">
            <v>N/A</v>
          </cell>
          <cell r="M39" t="str">
            <v>N/A</v>
          </cell>
          <cell r="N39" t="str">
            <v>N/A</v>
          </cell>
          <cell r="O39" t="str">
            <v>N/A</v>
          </cell>
          <cell r="P39" t="str">
            <v>BRENDA</v>
          </cell>
          <cell r="Q39">
            <v>46041</v>
          </cell>
          <cell r="R39" t="str">
            <v>RECURSOS FINANCIEROS</v>
          </cell>
          <cell r="T39" t="str">
            <v>339/2026</v>
          </cell>
          <cell r="U39">
            <v>46058</v>
          </cell>
          <cell r="V39">
            <v>311</v>
          </cell>
          <cell r="W39">
            <v>3110</v>
          </cell>
          <cell r="Y39">
            <v>3110</v>
          </cell>
          <cell r="Z39">
            <v>2</v>
          </cell>
          <cell r="AA39">
            <v>46059</v>
          </cell>
          <cell r="AB39">
            <v>46077</v>
          </cell>
          <cell r="AC39">
            <v>3</v>
          </cell>
          <cell r="AD39">
            <v>10</v>
          </cell>
          <cell r="AE39">
            <v>57</v>
          </cell>
          <cell r="AF39">
            <v>46058</v>
          </cell>
          <cell r="AG39" t="str">
            <v>DISTRIBUCION ESPECIALIZADA DE MEDICAMENTOS SA DE CV</v>
          </cell>
          <cell r="AH39" t="str">
            <v>ENTREGADO</v>
          </cell>
          <cell r="AI39">
            <v>46063</v>
          </cell>
          <cell r="AJ39">
            <v>500042490</v>
          </cell>
          <cell r="AK39">
            <v>46063</v>
          </cell>
          <cell r="AL39">
            <v>46090</v>
          </cell>
          <cell r="AM39">
            <v>46101</v>
          </cell>
        </row>
        <row r="40">
          <cell r="A40" t="str">
            <v>11/2026</v>
          </cell>
          <cell r="B40">
            <v>11</v>
          </cell>
          <cell r="C40" t="str">
            <v>COMPRA POR FONDO</v>
          </cell>
          <cell r="D40">
            <v>46038</v>
          </cell>
          <cell r="E40" t="str">
            <v>COORDINACION ADMINISTRATIVA</v>
          </cell>
          <cell r="F40" t="str">
            <v>AHCGSA/47/2026</v>
          </cell>
          <cell r="G40">
            <v>2541027149</v>
          </cell>
          <cell r="H40" t="str">
            <v>KIT AMEU PLUS C/JERINGA, AMEU PLUS 16 CANULAS 4, 5, 6, 7, 8, 9, 10 Y 12 MM 1 SILICON DE 2CC</v>
          </cell>
          <cell r="I40">
            <v>15</v>
          </cell>
          <cell r="J40" t="str">
            <v>PIEZA</v>
          </cell>
          <cell r="K40">
            <v>2541</v>
          </cell>
          <cell r="L40" t="str">
            <v>N/A</v>
          </cell>
          <cell r="M40" t="str">
            <v>N/A</v>
          </cell>
          <cell r="N40" t="str">
            <v>N/A</v>
          </cell>
          <cell r="O40" t="str">
            <v>N/A</v>
          </cell>
          <cell r="P40" t="str">
            <v>BRENDA</v>
          </cell>
          <cell r="Q40">
            <v>46041</v>
          </cell>
          <cell r="R40" t="str">
            <v>CANCELADO</v>
          </cell>
          <cell r="S40" t="str">
            <v xml:space="preserve">DE ACUERDO A LA RESPUESTA EMITIDA VIA CORREO POR PARTE DE LA CGA NOS INDICAN QUE SE ENCUENTRAN DISPONIBLES MEDIANTE AMPLIACION DEL 20%, UNA VEZ AGOTADO DICHO CONTRATO SE PODRA PROCEDER CON LA COMPRA MEDIANTE FONDO REVOLVENTE </v>
          </cell>
        </row>
        <row r="41">
          <cell r="A41" t="str">
            <v>11/2026</v>
          </cell>
          <cell r="B41">
            <v>11</v>
          </cell>
          <cell r="C41" t="str">
            <v>COMPRA POR FONDO</v>
          </cell>
          <cell r="D41">
            <v>46038</v>
          </cell>
          <cell r="E41" t="str">
            <v>COORDINACION ADMINISTRATIVA</v>
          </cell>
          <cell r="F41" t="str">
            <v>AHCGSA/47/2026</v>
          </cell>
          <cell r="G41">
            <v>2531563016</v>
          </cell>
          <cell r="H41" t="str">
            <v>010.000.6012.02 MISOPROSTOL. TABLETA. CADA TABLETA CONTIENE: MISOPROSTOL 200 µG. ENVASE CON 4 TABLETAS.</v>
          </cell>
          <cell r="I41">
            <v>120</v>
          </cell>
          <cell r="J41" t="str">
            <v>FRASCO</v>
          </cell>
          <cell r="K41">
            <v>2531</v>
          </cell>
          <cell r="L41" t="str">
            <v>N/A</v>
          </cell>
          <cell r="M41" t="str">
            <v>N/A</v>
          </cell>
          <cell r="N41" t="str">
            <v>N/A</v>
          </cell>
          <cell r="O41" t="str">
            <v>N/A</v>
          </cell>
          <cell r="P41" t="str">
            <v>BRENDA</v>
          </cell>
          <cell r="Q41">
            <v>46041</v>
          </cell>
          <cell r="R41" t="str">
            <v>CANCELADO</v>
          </cell>
          <cell r="S41" t="str">
            <v xml:space="preserve">DE ACUERDO A LA RESPUESTA EMITIDA VIA CORREO POR PARTE DE LA CGA NOS INDICAN QUE SE ENCUENTRAN DISPONIBLES MEDIANTE AMPLIACION DEL 20%, UNA VEZ AGOTADO DICHO CONTRATO SE PODRA PROCEDER CON LA COMPRA MEDIANTE FONDO REVOLVENTE </v>
          </cell>
        </row>
        <row r="42">
          <cell r="A42" t="str">
            <v>11/2026</v>
          </cell>
          <cell r="B42">
            <v>11</v>
          </cell>
          <cell r="C42" t="str">
            <v>COMPRA POR FONDO</v>
          </cell>
          <cell r="D42">
            <v>46038</v>
          </cell>
          <cell r="E42" t="str">
            <v>COORDINACION ADMINISTRATIVA</v>
          </cell>
          <cell r="F42" t="str">
            <v>AHCGSA/47/2026</v>
          </cell>
          <cell r="G42">
            <v>2531549068</v>
          </cell>
          <cell r="H42" t="str">
            <v>010.000.6034.00 MIFEPRISTONA. TABLETA. CADA TABLETA CONTIENE: MIFEPRISTONA 200 MG. ENVASE CON UNA TABLETA.</v>
          </cell>
          <cell r="I42">
            <v>120</v>
          </cell>
          <cell r="J42" t="str">
            <v>FRASCO</v>
          </cell>
          <cell r="K42">
            <v>2531</v>
          </cell>
          <cell r="L42" t="str">
            <v>N/A</v>
          </cell>
          <cell r="M42" t="str">
            <v>N/A</v>
          </cell>
          <cell r="N42" t="str">
            <v>N/A</v>
          </cell>
          <cell r="O42" t="str">
            <v>N/A</v>
          </cell>
          <cell r="P42" t="str">
            <v>BRENDA</v>
          </cell>
          <cell r="Q42">
            <v>46041</v>
          </cell>
          <cell r="R42" t="str">
            <v>CANCELADO</v>
          </cell>
          <cell r="S42" t="str">
            <v xml:space="preserve">DE ACUERDO A LA RESPUESTA EMITIDA VIA CORREO POR PARTE DE LA CGA NOS INDICAN QUE SE ENCUENTRAN DISPONIBLES MEDIANTE AMPLIACION DEL 20%, UNA VEZ AGOTADO DICHO CONTRATO SE PODRA PROCEDER CON LA COMPRA MEDIANTE FONDO REVOLVENTE </v>
          </cell>
        </row>
        <row r="43">
          <cell r="A43" t="str">
            <v>12/2026</v>
          </cell>
          <cell r="B43">
            <v>12</v>
          </cell>
          <cell r="C43" t="str">
            <v>COMPRA POR FONDO</v>
          </cell>
          <cell r="D43">
            <v>46038</v>
          </cell>
          <cell r="E43" t="str">
            <v>TRANSPORTES</v>
          </cell>
          <cell r="F43" t="str">
            <v>FTRANSP/06/2026</v>
          </cell>
          <cell r="G43">
            <v>3551007014</v>
          </cell>
          <cell r="H43" t="str">
            <v>SERVICIO DE REVISION DE FRENOS Y SUSPENSION PARA VEHILULO DE 4,6,8 CILINDROS.</v>
          </cell>
          <cell r="I43">
            <v>1</v>
          </cell>
          <cell r="J43" t="str">
            <v>SERVICIO</v>
          </cell>
          <cell r="K43">
            <v>3551</v>
          </cell>
          <cell r="L43" t="str">
            <v>N/A</v>
          </cell>
          <cell r="M43" t="str">
            <v>N/A</v>
          </cell>
          <cell r="N43" t="str">
            <v>N/A</v>
          </cell>
          <cell r="O43" t="str">
            <v>N/A</v>
          </cell>
          <cell r="P43" t="str">
            <v>BRENDA</v>
          </cell>
          <cell r="Q43">
            <v>46041</v>
          </cell>
          <cell r="R43" t="str">
            <v>RECURSOS FINANCIEROS</v>
          </cell>
          <cell r="T43" t="str">
            <v>625/2026</v>
          </cell>
          <cell r="U43">
            <v>46091</v>
          </cell>
          <cell r="V43">
            <v>6200</v>
          </cell>
          <cell r="W43">
            <v>6200</v>
          </cell>
          <cell r="X43">
            <v>992</v>
          </cell>
          <cell r="Y43">
            <v>7192</v>
          </cell>
          <cell r="Z43">
            <v>13</v>
          </cell>
          <cell r="AA43">
            <v>46093</v>
          </cell>
          <cell r="AB43">
            <v>46099</v>
          </cell>
          <cell r="AC43">
            <v>10</v>
          </cell>
          <cell r="AD43">
            <v>1</v>
          </cell>
          <cell r="AE43">
            <v>128</v>
          </cell>
          <cell r="AF43">
            <v>46099</v>
          </cell>
          <cell r="AG43" t="str">
            <v xml:space="preserve">GARCIA VILLAGRAN LUIS MARTIN </v>
          </cell>
        </row>
        <row r="44">
          <cell r="A44" t="str">
            <v>12/2026</v>
          </cell>
          <cell r="B44">
            <v>12</v>
          </cell>
          <cell r="C44" t="str">
            <v>COMPRA POR FONDO</v>
          </cell>
          <cell r="D44">
            <v>46038</v>
          </cell>
          <cell r="E44" t="str">
            <v>TRANSPORTES</v>
          </cell>
          <cell r="F44" t="str">
            <v>FTRANSP/06/2026</v>
          </cell>
          <cell r="G44">
            <v>3551007010</v>
          </cell>
          <cell r="H44" t="str">
            <v>SERVICIO DE AFINACION DE TRANSMISION AUTOMATICA PARA VEHICULOS SUBMARCA RAV4 , CRV,COROLLA,ACCORD JETTA, ECONOLINE VAN.</v>
          </cell>
          <cell r="I44">
            <v>1</v>
          </cell>
          <cell r="J44" t="str">
            <v>SERVICIO</v>
          </cell>
          <cell r="K44">
            <v>3551</v>
          </cell>
          <cell r="L44" t="str">
            <v>N/A</v>
          </cell>
          <cell r="M44" t="str">
            <v>N/A</v>
          </cell>
          <cell r="N44" t="str">
            <v>N/A</v>
          </cell>
          <cell r="O44" t="str">
            <v>N/A</v>
          </cell>
          <cell r="P44" t="str">
            <v>BRENDA</v>
          </cell>
          <cell r="Q44">
            <v>46041</v>
          </cell>
          <cell r="R44" t="str">
            <v>RECURSOS FINANCIEROS</v>
          </cell>
          <cell r="T44" t="str">
            <v>625/2026</v>
          </cell>
          <cell r="U44">
            <v>46091</v>
          </cell>
          <cell r="V44">
            <v>6600</v>
          </cell>
          <cell r="W44">
            <v>6600</v>
          </cell>
          <cell r="X44">
            <v>1056</v>
          </cell>
          <cell r="Y44">
            <v>7656</v>
          </cell>
          <cell r="Z44">
            <v>13</v>
          </cell>
          <cell r="AA44">
            <v>46093</v>
          </cell>
          <cell r="AB44">
            <v>46099</v>
          </cell>
          <cell r="AC44">
            <v>10</v>
          </cell>
          <cell r="AD44">
            <v>1</v>
          </cell>
          <cell r="AE44">
            <v>128</v>
          </cell>
          <cell r="AF44">
            <v>46099</v>
          </cell>
          <cell r="AG44" t="str">
            <v xml:space="preserve">GARCIA VILLAGRAN LUIS MARTIN </v>
          </cell>
        </row>
        <row r="45">
          <cell r="A45" t="str">
            <v>13/2026</v>
          </cell>
          <cell r="B45">
            <v>13</v>
          </cell>
          <cell r="C45" t="str">
            <v>REEMBOLSO</v>
          </cell>
          <cell r="D45">
            <v>46043</v>
          </cell>
          <cell r="E45" t="str">
            <v>COLOPROCTOLOGIA</v>
          </cell>
          <cell r="F45" t="str">
            <v>N/A</v>
          </cell>
          <cell r="G45">
            <v>3992100001</v>
          </cell>
          <cell r="H45" t="str">
            <v>RENTA DE CONSOLA THD PARA HEMORROIDECTOMIA</v>
          </cell>
          <cell r="I45">
            <v>1</v>
          </cell>
          <cell r="J45" t="str">
            <v>SERVICIO</v>
          </cell>
          <cell r="K45">
            <v>3992</v>
          </cell>
          <cell r="L45" t="str">
            <v>CECILIA CONTRERAS GUZMAN</v>
          </cell>
          <cell r="M45">
            <v>980981</v>
          </cell>
          <cell r="N45" t="str">
            <v>GONZALEZ HERNANDEZ JOEL</v>
          </cell>
          <cell r="O45">
            <v>11049341</v>
          </cell>
          <cell r="P45" t="str">
            <v>JESUS</v>
          </cell>
          <cell r="Q45">
            <v>46043</v>
          </cell>
          <cell r="R45" t="str">
            <v>RECURSOS FINANCIEROS</v>
          </cell>
          <cell r="T45" t="str">
            <v>494/2026</v>
          </cell>
          <cell r="U45">
            <v>46044</v>
          </cell>
          <cell r="V45">
            <v>7455.1724137931042</v>
          </cell>
          <cell r="W45">
            <v>7455.1724137931042</v>
          </cell>
          <cell r="X45">
            <v>1192.8275862068967</v>
          </cell>
          <cell r="Y45">
            <v>8648</v>
          </cell>
          <cell r="Z45">
            <v>4</v>
          </cell>
          <cell r="AA45">
            <v>46065</v>
          </cell>
          <cell r="AB45">
            <v>46079</v>
          </cell>
          <cell r="AC45">
            <v>4</v>
          </cell>
          <cell r="AG45" t="str">
            <v>CECILIA CONTRERAS GUZMAN</v>
          </cell>
        </row>
        <row r="46">
          <cell r="A46" t="str">
            <v>14/2026</v>
          </cell>
          <cell r="B46">
            <v>14</v>
          </cell>
          <cell r="C46" t="str">
            <v>GASTOS POR COMPROBAR</v>
          </cell>
          <cell r="D46">
            <v>46041</v>
          </cell>
          <cell r="E46" t="str">
            <v>COORDINACION ADMINISTRATIVA</v>
          </cell>
          <cell r="F46" t="str">
            <v>AHCGSA/54/2026</v>
          </cell>
          <cell r="G46">
            <v>3921001001</v>
          </cell>
          <cell r="H46" t="str">
            <v>REFRENDO 2026 PAGO DE CONTRIBUCIONES DE AUTOMOTORES DEL PARQUE VEHICULAR ASIGNADO A LA UHFAA</v>
          </cell>
          <cell r="I46">
            <v>1</v>
          </cell>
          <cell r="J46" t="str">
            <v>SERVICIO</v>
          </cell>
          <cell r="K46">
            <v>3921</v>
          </cell>
          <cell r="L46" t="str">
            <v>N/A</v>
          </cell>
          <cell r="M46" t="str">
            <v>N/A</v>
          </cell>
          <cell r="N46" t="str">
            <v>N/A</v>
          </cell>
          <cell r="O46" t="str">
            <v>N/A</v>
          </cell>
          <cell r="P46" t="str">
            <v>BRENDA</v>
          </cell>
          <cell r="Q46">
            <v>46043</v>
          </cell>
          <cell r="R46" t="str">
            <v>RECURSOS FINANCIEROS</v>
          </cell>
          <cell r="T46" t="str">
            <v>556/2026</v>
          </cell>
          <cell r="U46">
            <v>46045</v>
          </cell>
          <cell r="V46">
            <v>7500</v>
          </cell>
          <cell r="W46">
            <v>7500</v>
          </cell>
          <cell r="X46">
            <v>0</v>
          </cell>
          <cell r="Y46">
            <v>7500</v>
          </cell>
          <cell r="Z46">
            <v>8</v>
          </cell>
          <cell r="AA46">
            <v>46084</v>
          </cell>
          <cell r="AG46" t="str">
            <v>JORGE ALFREDO MORALES FERNANDEZ</v>
          </cell>
        </row>
        <row r="47">
          <cell r="A47" t="str">
            <v>15/2026</v>
          </cell>
          <cell r="B47">
            <v>15</v>
          </cell>
          <cell r="C47" t="str">
            <v>COMPRA POR FONDO</v>
          </cell>
          <cell r="D47">
            <v>46043</v>
          </cell>
          <cell r="E47" t="str">
            <v>ALMACEN DE VIVERES</v>
          </cell>
          <cell r="F47" t="str">
            <v>CAA ALM/6/2026</v>
          </cell>
          <cell r="G47">
            <v>2212005042</v>
          </cell>
          <cell r="H47" t="str">
            <v>LECHE FRESCA PASTEURIZADA LIGHT</v>
          </cell>
          <cell r="I47">
            <v>7500</v>
          </cell>
          <cell r="J47" t="str">
            <v>LITRO</v>
          </cell>
          <cell r="K47">
            <v>2212</v>
          </cell>
          <cell r="L47" t="str">
            <v>N/A</v>
          </cell>
          <cell r="M47" t="str">
            <v>N/A</v>
          </cell>
          <cell r="N47" t="str">
            <v>N/A</v>
          </cell>
          <cell r="O47" t="str">
            <v>N/A</v>
          </cell>
          <cell r="P47" t="str">
            <v>BRENDA</v>
          </cell>
          <cell r="Q47">
            <v>46044</v>
          </cell>
          <cell r="R47" t="str">
            <v>CANCELADO</v>
          </cell>
          <cell r="S47" t="str">
            <v xml:space="preserve">DE ACUERDO A LA RESPUESTA EMITIDA VIA CORREO POR PARTE DE LA CGA NOS INDICAN QUE SE ENCUENTRAN DISPONIBLES MEDIANTE AMPLIACION DEL 20%, UNA VEZ AGOTADO DICHO CONTRATO SE PODRA PROCEDER CON LA COMPRA MEDIANTE FONDO REVOLVENTE </v>
          </cell>
          <cell r="W47">
            <v>63000.000000000007</v>
          </cell>
          <cell r="AG47" t="str">
            <v>BLANCA ESTHELA VERA VARGAS</v>
          </cell>
        </row>
        <row r="48">
          <cell r="A48" t="str">
            <v>15/2026</v>
          </cell>
          <cell r="B48">
            <v>15</v>
          </cell>
          <cell r="C48" t="str">
            <v>COMPRA POR FONDO</v>
          </cell>
          <cell r="D48">
            <v>46043</v>
          </cell>
          <cell r="E48" t="str">
            <v>ALMACEN DE VIVERES</v>
          </cell>
          <cell r="F48" t="str">
            <v>CAA ALM/6/2026</v>
          </cell>
          <cell r="G48">
            <v>2212001044</v>
          </cell>
          <cell r="H48" t="str">
            <v>JUGO SABOR NARANJA DE 480 ML</v>
          </cell>
          <cell r="I48">
            <v>6500</v>
          </cell>
          <cell r="J48" t="str">
            <v>PIEZA</v>
          </cell>
          <cell r="K48">
            <v>2212</v>
          </cell>
          <cell r="L48" t="str">
            <v>N/A</v>
          </cell>
          <cell r="M48" t="str">
            <v>N/A</v>
          </cell>
          <cell r="N48" t="str">
            <v>N/A</v>
          </cell>
          <cell r="O48" t="str">
            <v>N/A</v>
          </cell>
          <cell r="P48" t="str">
            <v>BRENDA</v>
          </cell>
          <cell r="Q48">
            <v>46044</v>
          </cell>
          <cell r="R48" t="str">
            <v>CANCELADO</v>
          </cell>
          <cell r="S48" t="str">
            <v xml:space="preserve">DE ACUERDO A LA RESPUESTA EMITIDA VIA CORREO POR PARTE DE LA CGA NOS INDICAN QUE SE ENCUENTRAN DISPONIBLES MEDIANTE AMPLIACION DEL 20%, UNA VEZ AGOTADO DICHO CONTRATO SE PODRA PROCEDER CON LA COMPRA MEDIANTE FONDO REVOLVENTE </v>
          </cell>
          <cell r="W48">
            <v>2500</v>
          </cell>
          <cell r="AG48" t="str">
            <v>BLANCA ESTHELA VERA VARGAS</v>
          </cell>
        </row>
        <row r="49">
          <cell r="A49" t="str">
            <v>16/2026</v>
          </cell>
          <cell r="B49">
            <v>16</v>
          </cell>
          <cell r="C49" t="str">
            <v>SUBROGACION</v>
          </cell>
          <cell r="D49">
            <v>46044</v>
          </cell>
          <cell r="E49" t="str">
            <v>REUMATOLOGIA</v>
          </cell>
          <cell r="F49" t="str">
            <v>N/A</v>
          </cell>
          <cell r="G49">
            <v>3992100001</v>
          </cell>
          <cell r="H49" t="str">
            <v>ESTUDIO DE PERFIL HEPATITIA AUTOINMUNE</v>
          </cell>
          <cell r="I49">
            <v>1</v>
          </cell>
          <cell r="J49" t="str">
            <v>SERVICIO</v>
          </cell>
          <cell r="K49">
            <v>3992</v>
          </cell>
          <cell r="L49" t="str">
            <v>OFELIA ANDRADE ESTRADA</v>
          </cell>
          <cell r="M49">
            <v>980899</v>
          </cell>
          <cell r="N49" t="str">
            <v>OFELIA ANDRADE ESTRADA</v>
          </cell>
          <cell r="O49">
            <v>6044289</v>
          </cell>
          <cell r="P49" t="str">
            <v>JESUS</v>
          </cell>
          <cell r="Q49">
            <v>46044</v>
          </cell>
          <cell r="R49" t="str">
            <v>RECURSOS FINANCIEROS</v>
          </cell>
          <cell r="T49" t="str">
            <v>499/2026</v>
          </cell>
          <cell r="U49">
            <v>46077</v>
          </cell>
          <cell r="V49">
            <v>3448.2758620689656</v>
          </cell>
          <cell r="W49">
            <v>3448.2758620689656</v>
          </cell>
          <cell r="X49">
            <v>551.72413793103453</v>
          </cell>
          <cell r="Y49">
            <v>4000</v>
          </cell>
          <cell r="Z49">
            <v>5</v>
          </cell>
          <cell r="AA49">
            <v>46070</v>
          </cell>
          <cell r="AB49">
            <v>46079</v>
          </cell>
          <cell r="AC49">
            <v>4</v>
          </cell>
          <cell r="AG49" t="str">
            <v>JHAIR ISRAEL GARCIA CAMACHO</v>
          </cell>
        </row>
        <row r="50">
          <cell r="A50" t="str">
            <v>16/2026</v>
          </cell>
          <cell r="B50">
            <v>16</v>
          </cell>
          <cell r="C50" t="str">
            <v>SUBROGACION</v>
          </cell>
          <cell r="D50">
            <v>46044</v>
          </cell>
          <cell r="E50" t="str">
            <v>REUMATOLOGIA</v>
          </cell>
          <cell r="F50" t="str">
            <v>N/A</v>
          </cell>
          <cell r="G50">
            <v>3992100001</v>
          </cell>
          <cell r="H50" t="str">
            <v>ESTUDIO HLA  B27</v>
          </cell>
          <cell r="I50">
            <v>1</v>
          </cell>
          <cell r="J50" t="str">
            <v>SERVICIO</v>
          </cell>
          <cell r="K50">
            <v>3992</v>
          </cell>
          <cell r="L50" t="str">
            <v>OFELIA ANDRADE ESTRADA</v>
          </cell>
          <cell r="M50">
            <v>980899</v>
          </cell>
          <cell r="N50" t="str">
            <v>OFELIA ANDRADE ESTRADA</v>
          </cell>
          <cell r="O50">
            <v>6044289</v>
          </cell>
          <cell r="P50" t="str">
            <v>JESUS</v>
          </cell>
          <cell r="Q50">
            <v>46044</v>
          </cell>
          <cell r="R50" t="str">
            <v>RECURSOS FINANCIEROS</v>
          </cell>
          <cell r="T50" t="str">
            <v>499/2026</v>
          </cell>
          <cell r="U50">
            <v>46077</v>
          </cell>
          <cell r="V50">
            <v>2500</v>
          </cell>
          <cell r="W50">
            <v>2500</v>
          </cell>
          <cell r="X50">
            <v>400</v>
          </cell>
          <cell r="Y50">
            <v>2900</v>
          </cell>
          <cell r="Z50">
            <v>5</v>
          </cell>
          <cell r="AA50">
            <v>46070</v>
          </cell>
          <cell r="AB50">
            <v>46079</v>
          </cell>
          <cell r="AC50">
            <v>4</v>
          </cell>
          <cell r="AG50" t="str">
            <v>MARIO CASTILLO PEREZ</v>
          </cell>
        </row>
        <row r="51">
          <cell r="A51" t="str">
            <v>17/2026</v>
          </cell>
          <cell r="B51">
            <v>17</v>
          </cell>
          <cell r="C51" t="str">
            <v>SUBROGACION</v>
          </cell>
          <cell r="D51">
            <v>46044</v>
          </cell>
          <cell r="E51" t="str">
            <v>TRAUMATOLOGIA Y ORTOPEDIA</v>
          </cell>
          <cell r="F51" t="str">
            <v>N/A</v>
          </cell>
          <cell r="G51">
            <v>3992100001</v>
          </cell>
          <cell r="H51" t="str">
            <v>TORNILLO CANULADO ACEFALICO 5.0 MM</v>
          </cell>
          <cell r="I51">
            <v>3</v>
          </cell>
          <cell r="J51" t="str">
            <v>PIEZA</v>
          </cell>
          <cell r="K51">
            <v>3992</v>
          </cell>
          <cell r="L51" t="str">
            <v>YOLANDA CONTRERAS GARCIA</v>
          </cell>
          <cell r="M51">
            <v>2007095</v>
          </cell>
          <cell r="N51" t="str">
            <v>YOLANDA CONTRERAS GARCIA</v>
          </cell>
          <cell r="O51">
            <v>7076544</v>
          </cell>
          <cell r="P51" t="str">
            <v>JESUS</v>
          </cell>
          <cell r="Q51">
            <v>46044</v>
          </cell>
          <cell r="R51" t="str">
            <v>RECURSOS FINANCIEROS</v>
          </cell>
          <cell r="T51" t="str">
            <v>526/2026</v>
          </cell>
          <cell r="U51">
            <v>46078</v>
          </cell>
          <cell r="V51">
            <v>5500</v>
          </cell>
          <cell r="W51">
            <v>16500</v>
          </cell>
          <cell r="X51">
            <v>2640</v>
          </cell>
          <cell r="Y51">
            <v>19140</v>
          </cell>
          <cell r="Z51" t="str">
            <v>3 / 6</v>
          </cell>
          <cell r="AA51">
            <v>46063</v>
          </cell>
          <cell r="AB51">
            <v>46084</v>
          </cell>
          <cell r="AC51">
            <v>5</v>
          </cell>
          <cell r="AD51" t="str">
            <v>N/A</v>
          </cell>
        </row>
        <row r="52">
          <cell r="A52" t="str">
            <v>17/2026</v>
          </cell>
          <cell r="B52">
            <v>17</v>
          </cell>
          <cell r="C52" t="str">
            <v>SUBROGACION</v>
          </cell>
          <cell r="D52">
            <v>46044</v>
          </cell>
          <cell r="E52" t="str">
            <v>TRAUMATOLOGIA Y ORTOPEDIA</v>
          </cell>
          <cell r="F52" t="str">
            <v>N/A</v>
          </cell>
          <cell r="G52">
            <v>3992100001</v>
          </cell>
          <cell r="H52" t="str">
            <v>TORNILLO CANULADO ACEFALICO TRONCOCONICO 7.0 MM</v>
          </cell>
          <cell r="I52">
            <v>1</v>
          </cell>
          <cell r="J52" t="str">
            <v>PIEZA</v>
          </cell>
          <cell r="K52">
            <v>3992</v>
          </cell>
          <cell r="L52" t="str">
            <v>YOLANDA CONTRERAS GARCIA</v>
          </cell>
          <cell r="M52">
            <v>2007095</v>
          </cell>
          <cell r="N52" t="str">
            <v>YOLANDA CONTRERAS GARCIA</v>
          </cell>
          <cell r="O52">
            <v>7076544</v>
          </cell>
          <cell r="P52" t="str">
            <v>JESUS</v>
          </cell>
          <cell r="Q52">
            <v>46044</v>
          </cell>
          <cell r="R52" t="str">
            <v>RECURSOS FINANCIEROS</v>
          </cell>
          <cell r="T52" t="str">
            <v>526/2026</v>
          </cell>
          <cell r="U52">
            <v>46078</v>
          </cell>
          <cell r="V52">
            <v>7500</v>
          </cell>
          <cell r="W52">
            <v>7500</v>
          </cell>
          <cell r="X52">
            <v>1200</v>
          </cell>
          <cell r="Y52">
            <v>8700</v>
          </cell>
          <cell r="Z52" t="str">
            <v>3 / 6</v>
          </cell>
          <cell r="AA52">
            <v>46063</v>
          </cell>
          <cell r="AB52">
            <v>46084</v>
          </cell>
          <cell r="AC52">
            <v>5</v>
          </cell>
          <cell r="AD52" t="str">
            <v>N/A</v>
          </cell>
        </row>
        <row r="53">
          <cell r="A53" t="str">
            <v>17/2026</v>
          </cell>
          <cell r="B53">
            <v>17</v>
          </cell>
          <cell r="C53" t="str">
            <v>SUBROGACION</v>
          </cell>
          <cell r="D53">
            <v>46044</v>
          </cell>
          <cell r="E53" t="str">
            <v>TRAUMATOLOGIA Y ORTOPEDIA</v>
          </cell>
          <cell r="F53" t="str">
            <v>N/A</v>
          </cell>
          <cell r="G53">
            <v>3992100001</v>
          </cell>
          <cell r="H53" t="str">
            <v>CLAVO KISCHNER 3.00 MM</v>
          </cell>
          <cell r="I53">
            <v>3</v>
          </cell>
          <cell r="J53" t="str">
            <v>PIEZA</v>
          </cell>
          <cell r="K53">
            <v>3992</v>
          </cell>
          <cell r="L53" t="str">
            <v>YOLANDA CONTRERAS GARCIA</v>
          </cell>
          <cell r="M53">
            <v>2007095</v>
          </cell>
          <cell r="N53" t="str">
            <v>YOLANDA CONTRERAS GARCIA</v>
          </cell>
          <cell r="O53">
            <v>7076544</v>
          </cell>
          <cell r="P53" t="str">
            <v>JESUS</v>
          </cell>
          <cell r="Q53">
            <v>46044</v>
          </cell>
          <cell r="R53" t="str">
            <v>RECURSOS FINANCIEROS</v>
          </cell>
          <cell r="T53" t="str">
            <v>526/2026</v>
          </cell>
          <cell r="U53">
            <v>46078</v>
          </cell>
          <cell r="V53">
            <v>500</v>
          </cell>
          <cell r="W53">
            <v>1500</v>
          </cell>
          <cell r="X53">
            <v>240</v>
          </cell>
          <cell r="Y53">
            <v>1740</v>
          </cell>
          <cell r="Z53" t="str">
            <v>3 / 6</v>
          </cell>
          <cell r="AA53">
            <v>46063</v>
          </cell>
          <cell r="AB53">
            <v>46084</v>
          </cell>
          <cell r="AC53">
            <v>5</v>
          </cell>
          <cell r="AD53" t="str">
            <v>N/A</v>
          </cell>
        </row>
        <row r="54">
          <cell r="A54" t="str">
            <v>17/2026</v>
          </cell>
          <cell r="B54">
            <v>17</v>
          </cell>
          <cell r="C54" t="str">
            <v>SUBROGACION</v>
          </cell>
          <cell r="D54">
            <v>46044</v>
          </cell>
          <cell r="E54" t="str">
            <v>TRAUMATOLOGIA Y ORTOPEDIA</v>
          </cell>
          <cell r="F54" t="str">
            <v>N/A</v>
          </cell>
          <cell r="G54">
            <v>3992100001</v>
          </cell>
          <cell r="H54" t="str">
            <v>RENTA DE SIERRA</v>
          </cell>
          <cell r="I54">
            <v>1</v>
          </cell>
          <cell r="J54" t="str">
            <v>SERVICIO</v>
          </cell>
          <cell r="K54">
            <v>3992</v>
          </cell>
          <cell r="L54" t="str">
            <v>YOLANDA CONTRERAS GARCIA</v>
          </cell>
          <cell r="M54">
            <v>2007095</v>
          </cell>
          <cell r="N54" t="str">
            <v>YOLANDA CONTRERAS GARCIA</v>
          </cell>
          <cell r="O54">
            <v>7076544</v>
          </cell>
          <cell r="P54" t="str">
            <v>JESUS</v>
          </cell>
          <cell r="Q54">
            <v>46044</v>
          </cell>
          <cell r="R54" t="str">
            <v>RECURSOS FINANCIEROS</v>
          </cell>
          <cell r="T54" t="str">
            <v>526/2026</v>
          </cell>
          <cell r="U54">
            <v>46078</v>
          </cell>
          <cell r="V54">
            <v>2500</v>
          </cell>
          <cell r="W54">
            <v>2500</v>
          </cell>
          <cell r="X54">
            <v>400</v>
          </cell>
          <cell r="Y54">
            <v>2900</v>
          </cell>
          <cell r="Z54" t="str">
            <v>3 / 6</v>
          </cell>
          <cell r="AA54">
            <v>46063</v>
          </cell>
          <cell r="AB54">
            <v>46084</v>
          </cell>
          <cell r="AC54">
            <v>5</v>
          </cell>
          <cell r="AD54" t="str">
            <v>N/A</v>
          </cell>
        </row>
        <row r="55">
          <cell r="A55" t="str">
            <v>17/2026</v>
          </cell>
          <cell r="B55">
            <v>17</v>
          </cell>
          <cell r="C55" t="str">
            <v>SUBROGACION</v>
          </cell>
          <cell r="D55">
            <v>46044</v>
          </cell>
          <cell r="E55" t="str">
            <v>TRAUMATOLOGIA Y ORTOPEDIA</v>
          </cell>
          <cell r="F55" t="str">
            <v>N/A</v>
          </cell>
          <cell r="G55">
            <v>3992100001</v>
          </cell>
          <cell r="H55" t="str">
            <v>SET DE COLOCACION</v>
          </cell>
          <cell r="I55">
            <v>1</v>
          </cell>
          <cell r="J55" t="str">
            <v>SERVICIO</v>
          </cell>
          <cell r="K55">
            <v>3992</v>
          </cell>
          <cell r="L55" t="str">
            <v>YOLANDA CONTRERAS GARCIA</v>
          </cell>
          <cell r="M55">
            <v>2007095</v>
          </cell>
          <cell r="N55" t="str">
            <v>YOLANDA CONTRERAS GARCIA</v>
          </cell>
          <cell r="O55">
            <v>7076544</v>
          </cell>
          <cell r="P55" t="str">
            <v>JESUS</v>
          </cell>
          <cell r="Q55">
            <v>46044</v>
          </cell>
          <cell r="R55" t="str">
            <v>RECURSOS FINANCIEROS</v>
          </cell>
          <cell r="T55" t="str">
            <v>526/2026</v>
          </cell>
          <cell r="U55">
            <v>46078</v>
          </cell>
          <cell r="V55">
            <v>0</v>
          </cell>
          <cell r="W55">
            <v>0</v>
          </cell>
          <cell r="X55">
            <v>0</v>
          </cell>
          <cell r="Y55">
            <v>0</v>
          </cell>
          <cell r="Z55" t="str">
            <v>3 / 6</v>
          </cell>
          <cell r="AA55">
            <v>46063</v>
          </cell>
          <cell r="AB55">
            <v>46084</v>
          </cell>
          <cell r="AC55">
            <v>5</v>
          </cell>
          <cell r="AD55" t="str">
            <v>N/A</v>
          </cell>
        </row>
        <row r="56">
          <cell r="A56" t="str">
            <v>17/2026</v>
          </cell>
          <cell r="B56">
            <v>17</v>
          </cell>
          <cell r="C56" t="str">
            <v>SUBROGACION</v>
          </cell>
          <cell r="D56">
            <v>46044</v>
          </cell>
          <cell r="E56" t="str">
            <v>TRAUMATOLOGIA Y ORTOPEDIA</v>
          </cell>
          <cell r="F56" t="str">
            <v>N/A</v>
          </cell>
          <cell r="G56">
            <v>3992100001</v>
          </cell>
          <cell r="H56" t="str">
            <v>MATERIAL DE APOYO</v>
          </cell>
          <cell r="I56">
            <v>1</v>
          </cell>
          <cell r="J56" t="str">
            <v>SERVICIO</v>
          </cell>
          <cell r="K56">
            <v>3992</v>
          </cell>
          <cell r="L56" t="str">
            <v>YOLANDA CONTRERAS GARCIA</v>
          </cell>
          <cell r="M56">
            <v>2007095</v>
          </cell>
          <cell r="N56" t="str">
            <v>YOLANDA CONTRERAS GARCIA</v>
          </cell>
          <cell r="O56">
            <v>7076544</v>
          </cell>
          <cell r="P56" t="str">
            <v>JESUS</v>
          </cell>
          <cell r="Q56">
            <v>46044</v>
          </cell>
          <cell r="R56" t="str">
            <v>RECURSOS FINANCIEROS</v>
          </cell>
          <cell r="T56" t="str">
            <v>526/2026</v>
          </cell>
          <cell r="U56">
            <v>46078</v>
          </cell>
          <cell r="V56">
            <v>0</v>
          </cell>
          <cell r="W56">
            <v>0</v>
          </cell>
          <cell r="X56">
            <v>0</v>
          </cell>
          <cell r="Y56">
            <v>0</v>
          </cell>
          <cell r="Z56" t="str">
            <v>3 / 6</v>
          </cell>
          <cell r="AA56">
            <v>46063</v>
          </cell>
          <cell r="AB56">
            <v>46084</v>
          </cell>
          <cell r="AC56">
            <v>5</v>
          </cell>
          <cell r="AD56" t="str">
            <v>N/A</v>
          </cell>
        </row>
        <row r="57">
          <cell r="A57" t="str">
            <v>18/2026</v>
          </cell>
          <cell r="B57">
            <v>18</v>
          </cell>
          <cell r="C57" t="str">
            <v>SUBROGACION</v>
          </cell>
          <cell r="D57">
            <v>46044</v>
          </cell>
          <cell r="E57" t="str">
            <v>ARTROSCOPIA Y MEDICINA INTERNA</v>
          </cell>
          <cell r="F57" t="str">
            <v>N/A</v>
          </cell>
          <cell r="G57">
            <v>3992100001</v>
          </cell>
          <cell r="H57" t="str">
            <v>RENTA DE ARTROSCOPIO</v>
          </cell>
          <cell r="I57">
            <v>1</v>
          </cell>
          <cell r="J57" t="str">
            <v>SERVICIO</v>
          </cell>
          <cell r="K57">
            <v>3992</v>
          </cell>
          <cell r="L57" t="str">
            <v>BLANCA ESTHELA VERA VARGAS</v>
          </cell>
          <cell r="M57">
            <v>2001081</v>
          </cell>
          <cell r="N57" t="str">
            <v>BLANCA ESTHELA VERA VARGAS</v>
          </cell>
          <cell r="O57">
            <v>5050470</v>
          </cell>
          <cell r="P57" t="str">
            <v>JESUS</v>
          </cell>
          <cell r="Q57">
            <v>46044</v>
          </cell>
          <cell r="R57" t="str">
            <v>RECURSOS FINANCIEROS</v>
          </cell>
          <cell r="T57" t="str">
            <v>498/2026</v>
          </cell>
          <cell r="U57">
            <v>46052</v>
          </cell>
          <cell r="V57">
            <v>2900</v>
          </cell>
          <cell r="W57">
            <v>2900</v>
          </cell>
          <cell r="X57">
            <v>464</v>
          </cell>
          <cell r="Y57">
            <v>3364</v>
          </cell>
          <cell r="Z57">
            <v>4</v>
          </cell>
          <cell r="AA57">
            <v>46065</v>
          </cell>
          <cell r="AB57">
            <v>46079</v>
          </cell>
          <cell r="AC57">
            <v>4</v>
          </cell>
          <cell r="AG57" t="str">
            <v>BLANCA ESTHELA VERA VARGAS</v>
          </cell>
        </row>
        <row r="58">
          <cell r="A58" t="str">
            <v>18/2026</v>
          </cell>
          <cell r="B58">
            <v>18</v>
          </cell>
          <cell r="C58" t="str">
            <v>SUBROGACION</v>
          </cell>
          <cell r="D58">
            <v>46044</v>
          </cell>
          <cell r="E58" t="str">
            <v>ARTROSCOPIA Y MEDICINA INTERNA</v>
          </cell>
          <cell r="F58" t="str">
            <v>N/A</v>
          </cell>
          <cell r="G58">
            <v>3992100001</v>
          </cell>
          <cell r="H58" t="str">
            <v>MALLA DE ACIDO HIALURONICO 5X5 CM</v>
          </cell>
          <cell r="I58">
            <v>1</v>
          </cell>
          <cell r="J58" t="str">
            <v>PIEZA</v>
          </cell>
          <cell r="K58">
            <v>3992</v>
          </cell>
          <cell r="L58" t="str">
            <v>BLANCA ESTHELA VERA VARGAS</v>
          </cell>
          <cell r="M58">
            <v>2001081</v>
          </cell>
          <cell r="N58" t="str">
            <v>BLANCA ESTHELA VERA VARGAS</v>
          </cell>
          <cell r="O58">
            <v>5050470</v>
          </cell>
          <cell r="P58" t="str">
            <v>JESUS</v>
          </cell>
          <cell r="Q58">
            <v>46044</v>
          </cell>
          <cell r="R58" t="str">
            <v>RECURSOS FINANCIEROS</v>
          </cell>
          <cell r="T58" t="str">
            <v>498/2026</v>
          </cell>
          <cell r="U58">
            <v>46052</v>
          </cell>
          <cell r="V58">
            <v>43500</v>
          </cell>
          <cell r="W58">
            <v>43500</v>
          </cell>
          <cell r="X58">
            <v>6960</v>
          </cell>
          <cell r="Y58">
            <v>50460</v>
          </cell>
          <cell r="Z58">
            <v>4</v>
          </cell>
          <cell r="AA58">
            <v>46065</v>
          </cell>
          <cell r="AB58">
            <v>46079</v>
          </cell>
          <cell r="AC58">
            <v>4</v>
          </cell>
          <cell r="AG58" t="str">
            <v>BLANCA ESTHELA VERA VARGAS</v>
          </cell>
        </row>
        <row r="59">
          <cell r="A59" t="str">
            <v>18/2026</v>
          </cell>
          <cell r="B59">
            <v>18</v>
          </cell>
          <cell r="C59" t="str">
            <v>SUBROGACION</v>
          </cell>
          <cell r="D59">
            <v>46044</v>
          </cell>
          <cell r="E59" t="str">
            <v>ARTROSCOPIA Y MEDICINA INTERNA</v>
          </cell>
          <cell r="F59" t="str">
            <v>N/A</v>
          </cell>
          <cell r="G59">
            <v>3992100001</v>
          </cell>
          <cell r="H59" t="str">
            <v>SUTURA MENISCAL ALL INSIDE</v>
          </cell>
          <cell r="I59">
            <v>2</v>
          </cell>
          <cell r="J59" t="str">
            <v>PIEZA</v>
          </cell>
          <cell r="K59">
            <v>3992</v>
          </cell>
          <cell r="L59" t="str">
            <v>BLANCA ESTHELA VERA VARGAS</v>
          </cell>
          <cell r="M59">
            <v>2001081</v>
          </cell>
          <cell r="N59" t="str">
            <v>BLANCA ESTHELA VERA VARGAS</v>
          </cell>
          <cell r="O59">
            <v>5050470</v>
          </cell>
          <cell r="P59" t="str">
            <v>JESUS</v>
          </cell>
          <cell r="Q59">
            <v>46044</v>
          </cell>
          <cell r="R59" t="str">
            <v>RECURSOS FINANCIEROS</v>
          </cell>
          <cell r="T59" t="str">
            <v>498/2026</v>
          </cell>
          <cell r="U59">
            <v>46052</v>
          </cell>
          <cell r="V59">
            <v>7500</v>
          </cell>
          <cell r="W59">
            <v>15000</v>
          </cell>
          <cell r="X59">
            <v>2400</v>
          </cell>
          <cell r="Y59">
            <v>17400</v>
          </cell>
          <cell r="Z59">
            <v>4</v>
          </cell>
          <cell r="AA59">
            <v>46065</v>
          </cell>
          <cell r="AB59">
            <v>46079</v>
          </cell>
          <cell r="AC59">
            <v>4</v>
          </cell>
          <cell r="AG59" t="str">
            <v>BLANCA ESTHELA VERA VARGAS</v>
          </cell>
        </row>
        <row r="60">
          <cell r="A60" t="str">
            <v>19/2026</v>
          </cell>
          <cell r="B60">
            <v>19</v>
          </cell>
          <cell r="C60" t="str">
            <v>COMPRA POR FONDO</v>
          </cell>
          <cell r="D60">
            <v>46044</v>
          </cell>
          <cell r="E60" t="str">
            <v>MIMEOGRAFO</v>
          </cell>
          <cell r="F60" t="str">
            <v>AHCGSA/82/2026</v>
          </cell>
          <cell r="G60">
            <v>3362006055</v>
          </cell>
          <cell r="H60" t="str">
            <v>BLOCK CON 50 JUEGOS DE RECETA MÉDICA PARA POBLACIÓN SIN SEGURIDAD SOCIAL, CON FOLIO, JUEGO IMPRESO COMPUESTO POR ORIGINAL Y TRES COPIAS EN PAPEL AUTOCOPIABLE (ORIGINAL EN PAPEL COLOR BLANCO, COPIA EN PAPEL COLOR AMARILLO, COPIA EN PAPEL COLOR AZUL, C</v>
          </cell>
          <cell r="I60">
            <v>300</v>
          </cell>
          <cell r="J60" t="str">
            <v>BLOCK</v>
          </cell>
          <cell r="K60">
            <v>3362</v>
          </cell>
          <cell r="L60" t="str">
            <v>N/A</v>
          </cell>
          <cell r="M60" t="str">
            <v>N/A</v>
          </cell>
          <cell r="N60" t="str">
            <v>N/A</v>
          </cell>
          <cell r="O60" t="str">
            <v>N/A</v>
          </cell>
          <cell r="P60" t="str">
            <v>BRENDA</v>
          </cell>
          <cell r="Q60">
            <v>46044</v>
          </cell>
          <cell r="R60" t="str">
            <v>RECURSOS FINANCIEROS</v>
          </cell>
          <cell r="T60" t="str">
            <v>322/2026</v>
          </cell>
          <cell r="U60">
            <v>46057</v>
          </cell>
          <cell r="V60">
            <v>79.55</v>
          </cell>
          <cell r="W60">
            <v>23865</v>
          </cell>
          <cell r="X60">
            <v>3818.4</v>
          </cell>
          <cell r="Y60">
            <v>27683.4</v>
          </cell>
          <cell r="Z60">
            <v>2</v>
          </cell>
          <cell r="AA60">
            <v>46059</v>
          </cell>
          <cell r="AB60">
            <v>46064</v>
          </cell>
          <cell r="AC60">
            <v>2</v>
          </cell>
          <cell r="AD60">
            <v>300</v>
          </cell>
          <cell r="AE60">
            <v>55</v>
          </cell>
          <cell r="AF60">
            <v>46058</v>
          </cell>
          <cell r="AG60" t="str">
            <v>CR IMPRESORES SA DE CV</v>
          </cell>
          <cell r="AH60" t="str">
            <v>ENTREGADO</v>
          </cell>
          <cell r="AI60">
            <v>46094</v>
          </cell>
          <cell r="AJ60">
            <v>409</v>
          </cell>
          <cell r="AK60">
            <v>46072</v>
          </cell>
          <cell r="AL60">
            <v>46100</v>
          </cell>
        </row>
        <row r="61">
          <cell r="A61" t="str">
            <v>20/2026</v>
          </cell>
          <cell r="B61">
            <v>20</v>
          </cell>
          <cell r="C61" t="str">
            <v>GASTOS POR COMPROBAR</v>
          </cell>
          <cell r="D61">
            <v>46044</v>
          </cell>
          <cell r="E61" t="str">
            <v>COORDINACION ADMINISTRATIVA</v>
          </cell>
          <cell r="F61" t="str">
            <v>AHCGSA/61/2026</v>
          </cell>
          <cell r="G61">
            <v>3921001002</v>
          </cell>
          <cell r="H61" t="str">
            <v>PAGO DE OTROS IMPUESTOS Y DERECHOS (LICENCIA SANITARIA PARA ESTABLECIMIENTOS DE SALUD CON SERVICIO DE EXTRACCION, ANALISIS, CONSERVACION, PREPARACION Y  SUMINISTRO DE ORGANOS, TEJIDOS Y CELULAS ANTE LA COFEPRIS)</v>
          </cell>
          <cell r="I61">
            <v>1</v>
          </cell>
          <cell r="J61" t="str">
            <v>SERVICIO</v>
          </cell>
          <cell r="K61">
            <v>3921</v>
          </cell>
          <cell r="L61" t="str">
            <v>N/A</v>
          </cell>
          <cell r="M61" t="str">
            <v>N/A</v>
          </cell>
          <cell r="N61" t="str">
            <v>N/A</v>
          </cell>
          <cell r="O61" t="str">
            <v>N/A</v>
          </cell>
          <cell r="P61" t="str">
            <v>BRENDA</v>
          </cell>
          <cell r="Q61">
            <v>46045</v>
          </cell>
          <cell r="R61" t="str">
            <v>RECURSOS FINANCIEROS</v>
          </cell>
          <cell r="T61" t="str">
            <v>561/2026</v>
          </cell>
          <cell r="U61">
            <v>46044</v>
          </cell>
          <cell r="V61">
            <v>601</v>
          </cell>
          <cell r="W61">
            <v>601</v>
          </cell>
          <cell r="X61">
            <v>0</v>
          </cell>
          <cell r="Y61">
            <v>601</v>
          </cell>
          <cell r="Z61">
            <v>8</v>
          </cell>
          <cell r="AA61">
            <v>46084</v>
          </cell>
          <cell r="AG61" t="str">
            <v>COFEPRIS</v>
          </cell>
        </row>
        <row r="62">
          <cell r="A62" t="str">
            <v>21/2026</v>
          </cell>
          <cell r="B62">
            <v>21</v>
          </cell>
          <cell r="C62" t="str">
            <v>COMPRA POR FONDO</v>
          </cell>
          <cell r="D62">
            <v>46045</v>
          </cell>
          <cell r="E62" t="str">
            <v>COORDINACION ADMINISTRATIVA</v>
          </cell>
          <cell r="F62" t="str">
            <v>AHCGSA/61/2026</v>
          </cell>
          <cell r="G62">
            <v>2951007050</v>
          </cell>
          <cell r="H62" t="str">
            <v>BRAZALETE NEONATAL NO. 1 (BOLSA CON 10 PIEZAS) DRÄGER PARA MONITOR DE SIGNOS VITALES GAMMA XL</v>
          </cell>
          <cell r="I62">
            <v>10</v>
          </cell>
          <cell r="J62" t="str">
            <v>BOLSA</v>
          </cell>
          <cell r="K62">
            <v>2951</v>
          </cell>
          <cell r="L62" t="str">
            <v>N/A</v>
          </cell>
          <cell r="M62" t="str">
            <v>N/A</v>
          </cell>
          <cell r="N62" t="str">
            <v>N/A</v>
          </cell>
          <cell r="O62" t="str">
            <v>N/A</v>
          </cell>
          <cell r="P62" t="str">
            <v>BRENDA</v>
          </cell>
          <cell r="Q62">
            <v>46045</v>
          </cell>
          <cell r="R62" t="str">
            <v>RECURSOS FINANCIEROS</v>
          </cell>
          <cell r="S62" t="str">
            <v>SE ENTREGAN SUPRES EL 27/02/2026</v>
          </cell>
          <cell r="T62" t="str">
            <v>525/2026</v>
          </cell>
          <cell r="U62">
            <v>46076</v>
          </cell>
          <cell r="V62">
            <v>1111</v>
          </cell>
          <cell r="W62">
            <v>11110</v>
          </cell>
          <cell r="X62">
            <v>1777.6000000000001</v>
          </cell>
          <cell r="Y62">
            <v>12887.6</v>
          </cell>
          <cell r="Z62">
            <v>3</v>
          </cell>
          <cell r="AA62">
            <v>46063</v>
          </cell>
          <cell r="AB62">
            <v>46084</v>
          </cell>
          <cell r="AC62">
            <v>5</v>
          </cell>
          <cell r="AD62">
            <v>10</v>
          </cell>
          <cell r="AE62">
            <v>100</v>
          </cell>
          <cell r="AF62">
            <v>46076</v>
          </cell>
          <cell r="AG62" t="str">
            <v>ALVAREZ MARTINEZ TANIA</v>
          </cell>
        </row>
        <row r="63">
          <cell r="A63" t="str">
            <v>21/2026</v>
          </cell>
          <cell r="B63">
            <v>21</v>
          </cell>
          <cell r="C63" t="str">
            <v>COMPRA POR FONDO</v>
          </cell>
          <cell r="D63">
            <v>46044</v>
          </cell>
          <cell r="E63" t="str">
            <v>COORDINACION ADMINISTRATIVA</v>
          </cell>
          <cell r="F63" t="str">
            <v>AHCGSA/69/2026</v>
          </cell>
          <cell r="G63">
            <v>2951007051</v>
          </cell>
          <cell r="H63" t="str">
            <v>BRAZALETE NEONATAL NO. 2 (BOLSA CON 10 PIEZAS) DRÄGER PARA MONITOR DE SIGNOS VITALES GAMMA XL</v>
          </cell>
          <cell r="I63">
            <v>10</v>
          </cell>
          <cell r="J63" t="str">
            <v>BOLSA</v>
          </cell>
          <cell r="K63">
            <v>2951</v>
          </cell>
          <cell r="L63" t="str">
            <v>N/A</v>
          </cell>
          <cell r="M63" t="str">
            <v>N/A</v>
          </cell>
          <cell r="N63" t="str">
            <v>N/A</v>
          </cell>
          <cell r="O63" t="str">
            <v>N/A</v>
          </cell>
          <cell r="P63" t="str">
            <v>BRENDA</v>
          </cell>
          <cell r="Q63">
            <v>46045</v>
          </cell>
          <cell r="R63" t="str">
            <v>RECURSOS FINANCIEROS</v>
          </cell>
          <cell r="S63" t="str">
            <v>SE ENTREGAN SUPRES EL 27/02/2026</v>
          </cell>
          <cell r="T63" t="str">
            <v>525/2026</v>
          </cell>
          <cell r="U63">
            <v>46076</v>
          </cell>
          <cell r="V63">
            <v>1112</v>
          </cell>
          <cell r="W63">
            <v>11120</v>
          </cell>
          <cell r="X63">
            <v>1779.2</v>
          </cell>
          <cell r="Y63">
            <v>12899.2</v>
          </cell>
          <cell r="Z63">
            <v>3</v>
          </cell>
          <cell r="AA63">
            <v>46063</v>
          </cell>
          <cell r="AB63">
            <v>46084</v>
          </cell>
          <cell r="AC63">
            <v>5</v>
          </cell>
          <cell r="AD63">
            <v>10</v>
          </cell>
          <cell r="AE63">
            <v>100</v>
          </cell>
          <cell r="AF63">
            <v>46076</v>
          </cell>
          <cell r="AG63" t="str">
            <v>ALVAREZ MARTINEZ TANIA</v>
          </cell>
        </row>
        <row r="64">
          <cell r="A64" t="str">
            <v>21/2026</v>
          </cell>
          <cell r="B64">
            <v>21</v>
          </cell>
          <cell r="C64" t="str">
            <v>COMPRA POR FONDO</v>
          </cell>
          <cell r="D64">
            <v>46044</v>
          </cell>
          <cell r="E64" t="str">
            <v>COORDINACION ADMINISTRATIVA</v>
          </cell>
          <cell r="F64" t="str">
            <v>AHCGSA/69/2026</v>
          </cell>
          <cell r="G64">
            <v>2951007052</v>
          </cell>
          <cell r="H64" t="str">
            <v>BRAZALETE NEONATAL NO. 3 (BOLSA 10 PIEZAS) DRÄGER PARA MONITOR DE SIGNOS VITALES GAMMA XL</v>
          </cell>
          <cell r="I64">
            <v>10</v>
          </cell>
          <cell r="J64" t="str">
            <v>BOLSA</v>
          </cell>
          <cell r="K64">
            <v>2951</v>
          </cell>
          <cell r="L64" t="str">
            <v>N/A</v>
          </cell>
          <cell r="M64" t="str">
            <v>N/A</v>
          </cell>
          <cell r="N64" t="str">
            <v>N/A</v>
          </cell>
          <cell r="O64" t="str">
            <v>N/A</v>
          </cell>
          <cell r="P64" t="str">
            <v>BRENDA</v>
          </cell>
          <cell r="Q64">
            <v>46045</v>
          </cell>
          <cell r="R64" t="str">
            <v>RECURSOS FINANCIEROS</v>
          </cell>
          <cell r="S64" t="str">
            <v>SE ENTREGAN SUPRES EL 27/02/2026</v>
          </cell>
          <cell r="T64" t="str">
            <v>525/2026</v>
          </cell>
          <cell r="U64">
            <v>46076</v>
          </cell>
          <cell r="V64">
            <v>1113</v>
          </cell>
          <cell r="W64">
            <v>11130</v>
          </cell>
          <cell r="X64">
            <v>1780.8</v>
          </cell>
          <cell r="Y64">
            <v>12910.8</v>
          </cell>
          <cell r="Z64">
            <v>3</v>
          </cell>
          <cell r="AA64">
            <v>46063</v>
          </cell>
          <cell r="AB64">
            <v>46084</v>
          </cell>
          <cell r="AC64">
            <v>5</v>
          </cell>
          <cell r="AD64">
            <v>10</v>
          </cell>
          <cell r="AE64">
            <v>100</v>
          </cell>
          <cell r="AF64">
            <v>46076</v>
          </cell>
          <cell r="AG64" t="str">
            <v>ALVAREZ MARTINEZ TANIA</v>
          </cell>
        </row>
        <row r="65">
          <cell r="A65" t="str">
            <v>21/2026</v>
          </cell>
          <cell r="B65">
            <v>21</v>
          </cell>
          <cell r="C65" t="str">
            <v>COMPRA POR FONDO</v>
          </cell>
          <cell r="D65">
            <v>46044</v>
          </cell>
          <cell r="E65" t="str">
            <v>COORDINACION ADMINISTRATIVA</v>
          </cell>
          <cell r="F65" t="str">
            <v>AHCGSA/69/2026</v>
          </cell>
          <cell r="G65">
            <v>2951007061</v>
          </cell>
          <cell r="H65" t="str">
            <v>BRAZALETE NEONATAL NO. 4 (BOLSA CON 10 PIEZAS) DRÄGER PARA MONITOR DE SIGNOS VITALES GAMMA XL</v>
          </cell>
          <cell r="I65">
            <v>10</v>
          </cell>
          <cell r="J65" t="str">
            <v>BOLSA</v>
          </cell>
          <cell r="K65">
            <v>2951</v>
          </cell>
          <cell r="L65" t="str">
            <v>N/A</v>
          </cell>
          <cell r="M65" t="str">
            <v>N/A</v>
          </cell>
          <cell r="N65" t="str">
            <v>N/A</v>
          </cell>
          <cell r="O65" t="str">
            <v>N/A</v>
          </cell>
          <cell r="P65" t="str">
            <v>BRENDA</v>
          </cell>
          <cell r="Q65">
            <v>46045</v>
          </cell>
          <cell r="R65" t="str">
            <v>RECURSOS FINANCIEROS</v>
          </cell>
          <cell r="S65" t="str">
            <v>SE ENTREGAN SUPRES EL 27/02/2026</v>
          </cell>
          <cell r="T65" t="str">
            <v>525/2026</v>
          </cell>
          <cell r="U65">
            <v>46076</v>
          </cell>
          <cell r="V65">
            <v>1114</v>
          </cell>
          <cell r="W65">
            <v>11140</v>
          </cell>
          <cell r="X65">
            <v>1782.4</v>
          </cell>
          <cell r="Y65">
            <v>12922.4</v>
          </cell>
          <cell r="Z65">
            <v>3</v>
          </cell>
          <cell r="AA65">
            <v>46063</v>
          </cell>
          <cell r="AB65">
            <v>46084</v>
          </cell>
          <cell r="AC65">
            <v>5</v>
          </cell>
          <cell r="AD65">
            <v>10</v>
          </cell>
          <cell r="AE65">
            <v>100</v>
          </cell>
          <cell r="AF65">
            <v>46076</v>
          </cell>
          <cell r="AG65" t="str">
            <v>ALVAREZ MARTINEZ TANIA</v>
          </cell>
        </row>
        <row r="66">
          <cell r="A66" t="str">
            <v>21/2026</v>
          </cell>
          <cell r="B66">
            <v>21</v>
          </cell>
          <cell r="C66" t="str">
            <v>COMPRA POR FONDO</v>
          </cell>
          <cell r="D66">
            <v>46044</v>
          </cell>
          <cell r="E66" t="str">
            <v>COORDINACION ADMINISTRATIVA</v>
          </cell>
          <cell r="F66" t="str">
            <v>AHCGSA/69/2026</v>
          </cell>
          <cell r="G66">
            <v>2951003135</v>
          </cell>
          <cell r="H66" t="str">
            <v>BRAZALETE PARA TOMA DE PRESION ARTERIAL NO INVASIVA 1 VIA ADULTO MEDIANO REUSABLE # 11</v>
          </cell>
          <cell r="I66">
            <v>70</v>
          </cell>
          <cell r="J66" t="str">
            <v>PIEZA</v>
          </cell>
          <cell r="K66">
            <v>2951</v>
          </cell>
          <cell r="L66" t="str">
            <v>N/A</v>
          </cell>
          <cell r="M66" t="str">
            <v>N/A</v>
          </cell>
          <cell r="N66" t="str">
            <v>N/A</v>
          </cell>
          <cell r="O66" t="str">
            <v>N/A</v>
          </cell>
          <cell r="P66" t="str">
            <v>BRENDA</v>
          </cell>
          <cell r="Q66">
            <v>46045</v>
          </cell>
          <cell r="R66" t="str">
            <v>RECURSOS FINANCIEROS</v>
          </cell>
          <cell r="S66" t="str">
            <v>SE ENTREGAN SUPRES EL 27/02/2026</v>
          </cell>
          <cell r="T66" t="str">
            <v>525/2026</v>
          </cell>
          <cell r="U66">
            <v>46076</v>
          </cell>
          <cell r="V66">
            <v>270</v>
          </cell>
          <cell r="W66">
            <v>18900</v>
          </cell>
          <cell r="X66">
            <v>3024</v>
          </cell>
          <cell r="Y66">
            <v>21924</v>
          </cell>
          <cell r="Z66">
            <v>3</v>
          </cell>
          <cell r="AA66">
            <v>46063</v>
          </cell>
          <cell r="AB66">
            <v>46084</v>
          </cell>
          <cell r="AC66">
            <v>5</v>
          </cell>
          <cell r="AD66">
            <v>70</v>
          </cell>
          <cell r="AE66">
            <v>100</v>
          </cell>
          <cell r="AF66">
            <v>46076</v>
          </cell>
          <cell r="AG66" t="str">
            <v>ALVAREZ MARTINEZ TANIA</v>
          </cell>
        </row>
        <row r="67">
          <cell r="A67" t="str">
            <v>21/2026</v>
          </cell>
          <cell r="B67">
            <v>21</v>
          </cell>
          <cell r="C67" t="str">
            <v>COMPRA POR FONDO</v>
          </cell>
          <cell r="D67">
            <v>46044</v>
          </cell>
          <cell r="E67" t="str">
            <v>COORDINACION ADMINISTRATIVA</v>
          </cell>
          <cell r="F67" t="str">
            <v>AHCGSA/69/2026</v>
          </cell>
          <cell r="G67">
            <v>2951002068</v>
          </cell>
          <cell r="H67" t="str">
            <v>BRAZALETE NIBP Y MANGUERA  PARA MONITOR NELLCOR  MODELO NPB-4000.</v>
          </cell>
          <cell r="I67">
            <v>30</v>
          </cell>
          <cell r="J67" t="str">
            <v>PIEZA</v>
          </cell>
          <cell r="K67">
            <v>2951</v>
          </cell>
          <cell r="L67" t="str">
            <v>N/A</v>
          </cell>
          <cell r="M67" t="str">
            <v>N/A</v>
          </cell>
          <cell r="N67" t="str">
            <v>N/A</v>
          </cell>
          <cell r="O67" t="str">
            <v>N/A</v>
          </cell>
          <cell r="P67" t="str">
            <v>BRENDA</v>
          </cell>
          <cell r="Q67">
            <v>46045</v>
          </cell>
          <cell r="R67" t="str">
            <v>RECURSOS FINANCIEROS</v>
          </cell>
          <cell r="S67" t="str">
            <v>SE ENTREGAN SUPRES EL 27/02/2026</v>
          </cell>
          <cell r="T67" t="str">
            <v>522/2026</v>
          </cell>
          <cell r="U67">
            <v>46076</v>
          </cell>
          <cell r="V67">
            <v>938</v>
          </cell>
          <cell r="W67">
            <v>28140</v>
          </cell>
          <cell r="X67">
            <v>4502.4000000000005</v>
          </cell>
          <cell r="Y67">
            <v>32642.400000000001</v>
          </cell>
          <cell r="Z67">
            <v>3</v>
          </cell>
          <cell r="AA67">
            <v>46063</v>
          </cell>
          <cell r="AB67">
            <v>46084</v>
          </cell>
          <cell r="AC67">
            <v>5</v>
          </cell>
          <cell r="AD67">
            <v>30</v>
          </cell>
          <cell r="AE67">
            <v>98</v>
          </cell>
          <cell r="AF67">
            <v>46076</v>
          </cell>
          <cell r="AG67" t="str">
            <v>ALVAREZ MARTINEZ TANIA</v>
          </cell>
        </row>
        <row r="68">
          <cell r="A68" t="str">
            <v>21/2026</v>
          </cell>
          <cell r="B68">
            <v>21</v>
          </cell>
          <cell r="C68" t="str">
            <v>COMPRA POR FONDO</v>
          </cell>
          <cell r="D68">
            <v>46044</v>
          </cell>
          <cell r="E68" t="str">
            <v>COORDINACION ADMINISTRATIVA</v>
          </cell>
          <cell r="F68" t="str">
            <v>AHCGSA/69/2026</v>
          </cell>
          <cell r="G68">
            <v>2951003052</v>
          </cell>
          <cell r="H68" t="str">
            <v>BRAZALETE DE DOS VIAS ADULTO REUSABLE</v>
          </cell>
          <cell r="I68">
            <v>30</v>
          </cell>
          <cell r="J68" t="str">
            <v>PIEZA</v>
          </cell>
          <cell r="K68">
            <v>2951</v>
          </cell>
          <cell r="L68" t="str">
            <v>N/A</v>
          </cell>
          <cell r="M68" t="str">
            <v>N/A</v>
          </cell>
          <cell r="N68" t="str">
            <v>N/A</v>
          </cell>
          <cell r="O68" t="str">
            <v>N/A</v>
          </cell>
          <cell r="P68" t="str">
            <v>BRENDA</v>
          </cell>
          <cell r="Q68">
            <v>46045</v>
          </cell>
          <cell r="R68" t="str">
            <v>RECURSOS FINANCIEROS</v>
          </cell>
          <cell r="S68" t="str">
            <v>SE ENTREGAN SUPRES EL 27/02/2026</v>
          </cell>
          <cell r="T68" t="str">
            <v>524/2026</v>
          </cell>
          <cell r="U68">
            <v>46076</v>
          </cell>
          <cell r="V68">
            <v>158.33000000000001</v>
          </cell>
          <cell r="W68">
            <v>4749.9000000000005</v>
          </cell>
          <cell r="X68">
            <v>759.98400000000015</v>
          </cell>
          <cell r="Y68">
            <v>5509.88</v>
          </cell>
          <cell r="Z68">
            <v>3</v>
          </cell>
          <cell r="AA68">
            <v>46063</v>
          </cell>
          <cell r="AB68">
            <v>46084</v>
          </cell>
          <cell r="AC68">
            <v>5</v>
          </cell>
          <cell r="AD68">
            <v>30</v>
          </cell>
          <cell r="AE68">
            <v>99</v>
          </cell>
          <cell r="AF68">
            <v>46076</v>
          </cell>
          <cell r="AG68" t="str">
            <v>SOMOS PARTE DE TU EQUIPO SA DE CV</v>
          </cell>
          <cell r="AH68" t="str">
            <v>ENTREGADO</v>
          </cell>
          <cell r="AI68">
            <v>46083</v>
          </cell>
          <cell r="AJ68">
            <v>4787</v>
          </cell>
          <cell r="AL68">
            <v>46090</v>
          </cell>
        </row>
        <row r="69">
          <cell r="A69" t="str">
            <v>21/2026</v>
          </cell>
          <cell r="B69">
            <v>21</v>
          </cell>
          <cell r="C69" t="str">
            <v>COMPRA POR FONDO</v>
          </cell>
          <cell r="D69">
            <v>46044</v>
          </cell>
          <cell r="E69" t="str">
            <v>COORDINACION ADMINISTRATIVA</v>
          </cell>
          <cell r="F69" t="str">
            <v>AHCGSA/69/2026</v>
          </cell>
          <cell r="G69">
            <v>2951003143</v>
          </cell>
          <cell r="H69" t="str">
            <v>BRAZALETE DE 2 TUBOS PARA MEDICION DE PRESION ARTERIAL TAMA„O ADULTO ESTANDAR N. 13</v>
          </cell>
          <cell r="I69">
            <v>30</v>
          </cell>
          <cell r="J69" t="str">
            <v>PIEZA</v>
          </cell>
          <cell r="K69">
            <v>2951</v>
          </cell>
          <cell r="L69" t="str">
            <v>N/A</v>
          </cell>
          <cell r="M69" t="str">
            <v>N/A</v>
          </cell>
          <cell r="N69" t="str">
            <v>N/A</v>
          </cell>
          <cell r="O69" t="str">
            <v>N/A</v>
          </cell>
          <cell r="P69" t="str">
            <v>BRENDA</v>
          </cell>
          <cell r="Q69">
            <v>46045</v>
          </cell>
          <cell r="R69" t="str">
            <v>RECURSOS FINANCIEROS</v>
          </cell>
          <cell r="S69" t="str">
            <v>SE ENTREGAN SUPRES EL 27/02/2026</v>
          </cell>
          <cell r="T69" t="str">
            <v>521/2026</v>
          </cell>
          <cell r="U69">
            <v>46076</v>
          </cell>
          <cell r="V69">
            <v>358.88</v>
          </cell>
          <cell r="W69">
            <v>10766.4</v>
          </cell>
          <cell r="X69">
            <v>1722.624</v>
          </cell>
          <cell r="Y69">
            <v>12489.02</v>
          </cell>
          <cell r="Z69">
            <v>3</v>
          </cell>
          <cell r="AA69">
            <v>46063</v>
          </cell>
          <cell r="AB69">
            <v>46084</v>
          </cell>
          <cell r="AC69">
            <v>5</v>
          </cell>
          <cell r="AD69">
            <v>30</v>
          </cell>
          <cell r="AE69">
            <v>97</v>
          </cell>
          <cell r="AF69">
            <v>46076</v>
          </cell>
          <cell r="AG69" t="str">
            <v xml:space="preserve">DELGADO ALONSO GABRIEL </v>
          </cell>
          <cell r="AH69" t="str">
            <v>ENTREGADO</v>
          </cell>
          <cell r="AI69">
            <v>46083</v>
          </cell>
          <cell r="AJ69">
            <v>6318</v>
          </cell>
          <cell r="AL69">
            <v>46090</v>
          </cell>
        </row>
        <row r="70">
          <cell r="A70" t="str">
            <v>21/2026</v>
          </cell>
          <cell r="B70">
            <v>21</v>
          </cell>
          <cell r="C70" t="str">
            <v>COMPRA POR FONDO</v>
          </cell>
          <cell r="D70">
            <v>46044</v>
          </cell>
          <cell r="E70" t="str">
            <v>COORDINACION ADMINISTRATIVA</v>
          </cell>
          <cell r="F70" t="str">
            <v>AHCGSA/69/2026</v>
          </cell>
          <cell r="G70">
            <v>2951009017</v>
          </cell>
          <cell r="H70" t="str">
            <v>BRAZALETE ADULTO PEQUEÑO REUSABLE COLOR AZUL REY Y ENTRADA HEMBRA HEMBRA PARA MONITOR DASH 4000 GE</v>
          </cell>
          <cell r="I70">
            <v>20</v>
          </cell>
          <cell r="J70" t="str">
            <v>PIEZA</v>
          </cell>
          <cell r="K70">
            <v>2951</v>
          </cell>
          <cell r="L70" t="str">
            <v>N/A</v>
          </cell>
          <cell r="M70" t="str">
            <v>N/A</v>
          </cell>
          <cell r="N70" t="str">
            <v>N/A</v>
          </cell>
          <cell r="O70" t="str">
            <v>N/A</v>
          </cell>
          <cell r="P70" t="str">
            <v>BRENDA</v>
          </cell>
          <cell r="Q70">
            <v>46045</v>
          </cell>
          <cell r="R70" t="str">
            <v>RECURSOS FINANCIEROS</v>
          </cell>
          <cell r="S70" t="str">
            <v>SE ENTREGAN SUPRES EL 27/02/2026</v>
          </cell>
          <cell r="T70" t="str">
            <v>521/2026</v>
          </cell>
          <cell r="U70">
            <v>46076</v>
          </cell>
          <cell r="V70">
            <v>279.13</v>
          </cell>
          <cell r="W70">
            <v>5582.6</v>
          </cell>
          <cell r="X70">
            <v>893.21600000000012</v>
          </cell>
          <cell r="Y70">
            <v>6475.82</v>
          </cell>
          <cell r="Z70">
            <v>3</v>
          </cell>
          <cell r="AA70">
            <v>46063</v>
          </cell>
          <cell r="AB70">
            <v>46084</v>
          </cell>
          <cell r="AC70">
            <v>5</v>
          </cell>
          <cell r="AD70">
            <v>20</v>
          </cell>
          <cell r="AE70">
            <v>97</v>
          </cell>
          <cell r="AF70">
            <v>46076</v>
          </cell>
          <cell r="AG70" t="str">
            <v xml:space="preserve">DELGADO ALONSO GABRIEL </v>
          </cell>
          <cell r="AH70" t="str">
            <v>ENTREGADO</v>
          </cell>
          <cell r="AI70">
            <v>46083</v>
          </cell>
          <cell r="AJ70">
            <v>6318</v>
          </cell>
          <cell r="AL70">
            <v>46090</v>
          </cell>
        </row>
        <row r="71">
          <cell r="A71" t="str">
            <v>21/2026</v>
          </cell>
          <cell r="B71">
            <v>21</v>
          </cell>
          <cell r="C71" t="str">
            <v>COMPRA POR FONDO</v>
          </cell>
          <cell r="D71">
            <v>46044</v>
          </cell>
          <cell r="E71" t="str">
            <v>COORDINACION ADMINISTRATIVA</v>
          </cell>
          <cell r="F71" t="str">
            <v>AHCGSA/69/2026</v>
          </cell>
          <cell r="G71">
            <v>2951006005</v>
          </cell>
          <cell r="H71" t="str">
            <v>BRAZALETE ADULTO ESTÁNDAR REUSABLE CON CONEXIÓN MACHO/HEMBRA.</v>
          </cell>
          <cell r="I71">
            <v>70</v>
          </cell>
          <cell r="J71" t="str">
            <v>PIEZA</v>
          </cell>
          <cell r="K71">
            <v>2951</v>
          </cell>
          <cell r="L71" t="str">
            <v>N/A</v>
          </cell>
          <cell r="M71" t="str">
            <v>N/A</v>
          </cell>
          <cell r="N71" t="str">
            <v>N/A</v>
          </cell>
          <cell r="O71" t="str">
            <v>N/A</v>
          </cell>
          <cell r="P71" t="str">
            <v>BRENDA</v>
          </cell>
          <cell r="Q71">
            <v>46045</v>
          </cell>
          <cell r="R71" t="str">
            <v>RECURSOS FINANCIEROS</v>
          </cell>
          <cell r="S71" t="str">
            <v>SE ENTREGAN SUPRES EL 27/02/2026</v>
          </cell>
          <cell r="T71" t="str">
            <v>522/2026</v>
          </cell>
          <cell r="U71">
            <v>46076</v>
          </cell>
          <cell r="V71">
            <v>340</v>
          </cell>
          <cell r="W71">
            <v>23800</v>
          </cell>
          <cell r="X71">
            <v>3808</v>
          </cell>
          <cell r="Y71">
            <v>27608</v>
          </cell>
          <cell r="Z71">
            <v>3</v>
          </cell>
          <cell r="AA71">
            <v>46063</v>
          </cell>
          <cell r="AB71">
            <v>46084</v>
          </cell>
          <cell r="AC71">
            <v>5</v>
          </cell>
          <cell r="AD71">
            <v>70</v>
          </cell>
          <cell r="AE71">
            <v>98</v>
          </cell>
          <cell r="AF71">
            <v>46076</v>
          </cell>
          <cell r="AG71" t="str">
            <v>ALVAREZ MARTINEZ TANIA</v>
          </cell>
        </row>
        <row r="72">
          <cell r="A72" t="str">
            <v>21/2026</v>
          </cell>
          <cell r="B72">
            <v>21</v>
          </cell>
          <cell r="C72" t="str">
            <v>COMPRA POR FONDO</v>
          </cell>
          <cell r="D72">
            <v>46044</v>
          </cell>
          <cell r="E72" t="str">
            <v>COORDINACION ADMINISTRATIVA</v>
          </cell>
          <cell r="F72" t="str">
            <v>AHCGSA/69/2026</v>
          </cell>
          <cell r="G72">
            <v>2951007144</v>
          </cell>
          <cell r="H72" t="str">
            <v>BRAZALETE  PEDIÁTRICO REUSABLE DRÄGER PARA MONITOR DE SIGNOS VITALES DELTA XL</v>
          </cell>
          <cell r="I72">
            <v>50</v>
          </cell>
          <cell r="J72" t="str">
            <v>PIEZA</v>
          </cell>
          <cell r="K72">
            <v>2951</v>
          </cell>
          <cell r="L72" t="str">
            <v>N/A</v>
          </cell>
          <cell r="M72" t="str">
            <v>N/A</v>
          </cell>
          <cell r="N72" t="str">
            <v>N/A</v>
          </cell>
          <cell r="O72" t="str">
            <v>N/A</v>
          </cell>
          <cell r="P72" t="str">
            <v>BRENDA</v>
          </cell>
          <cell r="Q72">
            <v>46045</v>
          </cell>
          <cell r="R72" t="str">
            <v>RECURSOS FINANCIEROS</v>
          </cell>
          <cell r="S72" t="str">
            <v>SE ENTREGAN SUPRES EL 27/02/2026</v>
          </cell>
          <cell r="T72" t="str">
            <v>519/2026</v>
          </cell>
          <cell r="U72">
            <v>46078</v>
          </cell>
          <cell r="V72">
            <v>218.39</v>
          </cell>
          <cell r="W72">
            <v>10919.500000000002</v>
          </cell>
          <cell r="X72">
            <v>1747.1200000000003</v>
          </cell>
          <cell r="Y72">
            <v>12666.62</v>
          </cell>
          <cell r="Z72">
            <v>4</v>
          </cell>
          <cell r="AA72">
            <v>46065</v>
          </cell>
          <cell r="AB72">
            <v>46084</v>
          </cell>
          <cell r="AC72">
            <v>5</v>
          </cell>
          <cell r="AD72">
            <v>50</v>
          </cell>
          <cell r="AE72">
            <v>96</v>
          </cell>
          <cell r="AF72">
            <v>46078</v>
          </cell>
          <cell r="AG72" t="str">
            <v>ID ASESORIA QUIRURGICA SA DE CV</v>
          </cell>
        </row>
        <row r="73">
          <cell r="A73" t="str">
            <v>21/2026</v>
          </cell>
          <cell r="B73">
            <v>21</v>
          </cell>
          <cell r="C73" t="str">
            <v>COMPRA POR FONDO</v>
          </cell>
          <cell r="D73">
            <v>46044</v>
          </cell>
          <cell r="E73" t="str">
            <v>COORDINACION ADMINISTRATIVA</v>
          </cell>
          <cell r="F73" t="str">
            <v>AHCGSA/69/2026</v>
          </cell>
          <cell r="G73">
            <v>2951007098</v>
          </cell>
          <cell r="H73" t="str">
            <v>BRAZALETE ADULTO OBESO REUSABLE PARA MONITOR DE SIGNOS VITALES VISTA XL DRÄGER</v>
          </cell>
          <cell r="I73">
            <v>20</v>
          </cell>
          <cell r="J73" t="str">
            <v>PIEZA</v>
          </cell>
          <cell r="K73">
            <v>2951</v>
          </cell>
          <cell r="L73" t="str">
            <v>N/A</v>
          </cell>
          <cell r="M73" t="str">
            <v>N/A</v>
          </cell>
          <cell r="N73" t="str">
            <v>N/A</v>
          </cell>
          <cell r="O73" t="str">
            <v>N/A</v>
          </cell>
          <cell r="P73" t="str">
            <v>BRENDA</v>
          </cell>
          <cell r="Q73">
            <v>46045</v>
          </cell>
          <cell r="R73" t="str">
            <v>RECURSOS FINANCIEROS</v>
          </cell>
          <cell r="S73" t="str">
            <v>SE ENTREGAN SUPRES EL 27/02/2026</v>
          </cell>
          <cell r="T73" t="str">
            <v>522/2026</v>
          </cell>
          <cell r="U73">
            <v>46076</v>
          </cell>
          <cell r="V73">
            <v>494</v>
          </cell>
          <cell r="W73">
            <v>9880</v>
          </cell>
          <cell r="X73">
            <v>1580.8</v>
          </cell>
          <cell r="Y73">
            <v>11460.8</v>
          </cell>
          <cell r="Z73">
            <v>3</v>
          </cell>
          <cell r="AA73">
            <v>46063</v>
          </cell>
          <cell r="AB73">
            <v>46084</v>
          </cell>
          <cell r="AC73">
            <v>5</v>
          </cell>
          <cell r="AD73">
            <v>20</v>
          </cell>
          <cell r="AE73">
            <v>98</v>
          </cell>
          <cell r="AF73">
            <v>46076</v>
          </cell>
          <cell r="AG73" t="str">
            <v>ALVAREZ MARTINEZ TANIA</v>
          </cell>
        </row>
        <row r="74">
          <cell r="A74" t="str">
            <v>21/2026</v>
          </cell>
          <cell r="B74">
            <v>21</v>
          </cell>
          <cell r="C74" t="str">
            <v>COMPRA POR FONDO</v>
          </cell>
          <cell r="D74">
            <v>46044</v>
          </cell>
          <cell r="E74" t="str">
            <v>COORDINACION ADMINISTRATIVA</v>
          </cell>
          <cell r="F74" t="str">
            <v>AHCGSA/69/2026</v>
          </cell>
          <cell r="G74">
            <v>2951009013</v>
          </cell>
          <cell r="H74" t="str">
            <v>BRAZALETE ADULTO OBESO REUSABLE COLOR VINO CONECTORES MACHO HEMBRA PARA MONITOR AMS/5 Y COMPACTO DATEX OHMEDA</v>
          </cell>
          <cell r="I74">
            <v>20</v>
          </cell>
          <cell r="J74" t="str">
            <v>PIEZA</v>
          </cell>
          <cell r="K74">
            <v>2951</v>
          </cell>
          <cell r="L74" t="str">
            <v>N/A</v>
          </cell>
          <cell r="M74" t="str">
            <v>N/A</v>
          </cell>
          <cell r="N74" t="str">
            <v>N/A</v>
          </cell>
          <cell r="O74" t="str">
            <v>N/A</v>
          </cell>
          <cell r="P74" t="str">
            <v>BRENDA</v>
          </cell>
          <cell r="Q74">
            <v>46045</v>
          </cell>
          <cell r="R74" t="str">
            <v>RECURSOS FINANCIEROS</v>
          </cell>
          <cell r="S74" t="str">
            <v>SE ENTREGAN SUPRES EL 27/02/2026</v>
          </cell>
          <cell r="T74" t="str">
            <v>524/2026</v>
          </cell>
          <cell r="U74">
            <v>46076</v>
          </cell>
          <cell r="V74">
            <v>363</v>
          </cell>
          <cell r="W74">
            <v>7260</v>
          </cell>
          <cell r="X74">
            <v>1161.6000000000001</v>
          </cell>
          <cell r="Y74">
            <v>8421.6</v>
          </cell>
          <cell r="Z74">
            <v>3</v>
          </cell>
          <cell r="AA74">
            <v>46063</v>
          </cell>
          <cell r="AB74">
            <v>46084</v>
          </cell>
          <cell r="AC74">
            <v>5</v>
          </cell>
          <cell r="AD74">
            <v>20</v>
          </cell>
          <cell r="AE74">
            <v>99</v>
          </cell>
          <cell r="AF74">
            <v>46076</v>
          </cell>
          <cell r="AG74" t="str">
            <v>SOMOS PARTE DE TU EQUIPO SA DE CV</v>
          </cell>
          <cell r="AH74" t="str">
            <v>ENTREGADO</v>
          </cell>
          <cell r="AI74">
            <v>46083</v>
          </cell>
          <cell r="AJ74">
            <v>4787</v>
          </cell>
          <cell r="AL74">
            <v>46090</v>
          </cell>
        </row>
        <row r="75">
          <cell r="A75" t="str">
            <v>22/2026</v>
          </cell>
          <cell r="B75">
            <v>22</v>
          </cell>
          <cell r="C75" t="str">
            <v>COMPRA POR FONDO</v>
          </cell>
          <cell r="D75">
            <v>46044</v>
          </cell>
          <cell r="E75" t="str">
            <v>COORDINACION ADMINISTRATIVA</v>
          </cell>
          <cell r="F75" t="str">
            <v>AHCGSA/69/2026</v>
          </cell>
          <cell r="G75">
            <v>2111005192</v>
          </cell>
          <cell r="H75" t="str">
            <v>LIBRETA PARA DESCARGA DE MEDICAMENTOS CONTROLADOS FRACCION I, II Y III PASTA DURA DE CARTON NO. 5, CON LOMO DE PERCALINA SIN FORRAR, IMPRESO EN TINTA</v>
          </cell>
          <cell r="I75">
            <v>20</v>
          </cell>
          <cell r="J75" t="str">
            <v>PIEZA</v>
          </cell>
          <cell r="K75">
            <v>2111</v>
          </cell>
          <cell r="L75" t="str">
            <v>N/A</v>
          </cell>
          <cell r="M75" t="str">
            <v>N/A</v>
          </cell>
          <cell r="N75" t="str">
            <v>N/A</v>
          </cell>
          <cell r="O75" t="str">
            <v>N/A</v>
          </cell>
          <cell r="P75" t="str">
            <v>BRENDA</v>
          </cell>
          <cell r="Q75">
            <v>46045</v>
          </cell>
          <cell r="R75" t="str">
            <v>CANCELADO</v>
          </cell>
          <cell r="S75" t="str">
            <v>PRISCILA INFORMA VIA TELEFONICA, QUE SE MODIFICA EL RAYADO DEL LIBRO POR INDICACION DE JURIDICO. EN ESPERA DE NUEVO OFICIO CON LA INFORMACION ACTUALIZADA</v>
          </cell>
          <cell r="T75" t="str">
            <v>N/A</v>
          </cell>
          <cell r="U75" t="str">
            <v>N/A</v>
          </cell>
          <cell r="V75" t="str">
            <v>N/A</v>
          </cell>
          <cell r="W75" t="str">
            <v>N/A</v>
          </cell>
          <cell r="X75" t="str">
            <v>N/A</v>
          </cell>
          <cell r="Y75" t="str">
            <v>N/A</v>
          </cell>
          <cell r="Z75" t="str">
            <v>N/A</v>
          </cell>
          <cell r="AA75" t="str">
            <v>N/A</v>
          </cell>
          <cell r="AB75" t="str">
            <v>N/A</v>
          </cell>
        </row>
        <row r="76">
          <cell r="A76" t="str">
            <v>22/2026</v>
          </cell>
          <cell r="B76">
            <v>22</v>
          </cell>
          <cell r="C76" t="str">
            <v>COMPRA POR FONDO</v>
          </cell>
          <cell r="D76">
            <v>46044</v>
          </cell>
          <cell r="E76" t="str">
            <v>COORDINACION ADMINISTRATIVA</v>
          </cell>
          <cell r="F76" t="str">
            <v>AHCGSA/69/2026</v>
          </cell>
          <cell r="G76">
            <v>2551021005</v>
          </cell>
          <cell r="H76" t="str">
            <v>PAPEL TƒRMICO SARGENT 2 CAJA C/6 ROLLOS COMPATIBLE CON EL EQUIPO ENVASADORA AUTOPRINT PARA UNIDOSIS DE MEDICAMENTOS MARCA MEDICAL PACKAGING (AUTOPRINT II SYSTEM 115V)</v>
          </cell>
          <cell r="I76">
            <v>108</v>
          </cell>
          <cell r="J76" t="str">
            <v>PIEZA</v>
          </cell>
          <cell r="K76">
            <v>2551</v>
          </cell>
          <cell r="L76" t="str">
            <v>N/A</v>
          </cell>
          <cell r="M76" t="str">
            <v>N/A</v>
          </cell>
          <cell r="N76" t="str">
            <v>N/A</v>
          </cell>
          <cell r="O76" t="str">
            <v>N/A</v>
          </cell>
          <cell r="P76" t="str">
            <v>BRENDA</v>
          </cell>
          <cell r="Q76">
            <v>46045</v>
          </cell>
          <cell r="R76" t="str">
            <v>RECURSOS FINANCIEROS</v>
          </cell>
          <cell r="T76" t="str">
            <v>461/2026</v>
          </cell>
          <cell r="U76">
            <v>46071</v>
          </cell>
          <cell r="V76">
            <v>5250</v>
          </cell>
          <cell r="W76">
            <v>63000</v>
          </cell>
          <cell r="X76">
            <v>10080</v>
          </cell>
          <cell r="Y76">
            <v>73080</v>
          </cell>
          <cell r="Z76">
            <v>4</v>
          </cell>
          <cell r="AA76">
            <v>46065</v>
          </cell>
          <cell r="AB76">
            <v>46084</v>
          </cell>
          <cell r="AC76">
            <v>5</v>
          </cell>
          <cell r="AD76">
            <v>12</v>
          </cell>
          <cell r="AE76">
            <v>83</v>
          </cell>
          <cell r="AF76">
            <v>46071</v>
          </cell>
          <cell r="AG76" t="str">
            <v>VITASANITAS SA DE CV</v>
          </cell>
          <cell r="AH76" t="str">
            <v>ENTREGADO</v>
          </cell>
          <cell r="AI76">
            <v>46084</v>
          </cell>
          <cell r="AJ76">
            <v>57516</v>
          </cell>
          <cell r="AL76">
            <v>46090</v>
          </cell>
        </row>
        <row r="77">
          <cell r="A77" t="str">
            <v>23/2026</v>
          </cell>
          <cell r="B77">
            <v>23</v>
          </cell>
          <cell r="C77" t="str">
            <v>SUBROGACION</v>
          </cell>
          <cell r="D77">
            <v>46048</v>
          </cell>
          <cell r="E77" t="str">
            <v>REUMATOLOGIA</v>
          </cell>
          <cell r="F77" t="str">
            <v>N/A</v>
          </cell>
          <cell r="G77">
            <v>3992100001</v>
          </cell>
          <cell r="H77" t="str">
            <v>010.000.6186.00 BARICITINIB. TABLETA. CADA TABLETA CONTIENE: BARICITINIB 4 MG ENVASE CON 28 TABLETAS.</v>
          </cell>
          <cell r="I77">
            <v>3</v>
          </cell>
          <cell r="J77" t="str">
            <v>ENVASE</v>
          </cell>
          <cell r="K77">
            <v>2531</v>
          </cell>
          <cell r="L77" t="str">
            <v>ALEJANDRA GARCIA VILLALVAZO</v>
          </cell>
          <cell r="M77">
            <v>2022440</v>
          </cell>
          <cell r="N77" t="str">
            <v>GARCIA VILLALVAZO ALEJANDRA</v>
          </cell>
          <cell r="O77">
            <v>11171053</v>
          </cell>
          <cell r="P77" t="str">
            <v>JESUS</v>
          </cell>
          <cell r="Q77">
            <v>46048</v>
          </cell>
          <cell r="R77" t="str">
            <v>COTIZACION</v>
          </cell>
        </row>
        <row r="78">
          <cell r="A78" t="str">
            <v>24/2026</v>
          </cell>
          <cell r="B78">
            <v>24</v>
          </cell>
          <cell r="C78" t="str">
            <v>SUBROGACION</v>
          </cell>
          <cell r="D78">
            <v>46048</v>
          </cell>
          <cell r="E78" t="str">
            <v>ORTOPEDIA Y TRAUMA</v>
          </cell>
          <cell r="F78" t="str">
            <v>N/A</v>
          </cell>
          <cell r="G78">
            <v>3992100001</v>
          </cell>
          <cell r="H78" t="str">
            <v>RENTA DE ATROSCOPIO 2.7 MM DE MUÑECA CON INSTRUMENTAL</v>
          </cell>
          <cell r="I78">
            <v>1</v>
          </cell>
          <cell r="J78" t="str">
            <v>SERVICIO</v>
          </cell>
          <cell r="K78">
            <v>3992</v>
          </cell>
          <cell r="L78" t="str">
            <v>EDGAR EDUARDO ANDRADE LOPEZ</v>
          </cell>
          <cell r="M78">
            <v>2010355</v>
          </cell>
          <cell r="N78" t="str">
            <v>EDGAR EDUARDO ANDRADE LOPEZ</v>
          </cell>
          <cell r="O78">
            <v>14193556</v>
          </cell>
          <cell r="P78" t="str">
            <v>JESUS</v>
          </cell>
          <cell r="Q78">
            <v>46048</v>
          </cell>
          <cell r="R78" t="str">
            <v>RECURSOS FINANCIEROS</v>
          </cell>
          <cell r="T78" t="str">
            <v>520/2026</v>
          </cell>
          <cell r="U78">
            <v>46078</v>
          </cell>
          <cell r="V78">
            <v>8500</v>
          </cell>
          <cell r="W78">
            <v>8500</v>
          </cell>
          <cell r="X78">
            <v>1360</v>
          </cell>
          <cell r="Y78">
            <v>9860</v>
          </cell>
          <cell r="Z78" t="str">
            <v>3 / 6</v>
          </cell>
          <cell r="AA78">
            <v>46063</v>
          </cell>
          <cell r="AB78">
            <v>46084</v>
          </cell>
          <cell r="AC78">
            <v>5</v>
          </cell>
          <cell r="AE78" t="str">
            <v>CARTA COMPROMISO</v>
          </cell>
          <cell r="AF78">
            <v>46084</v>
          </cell>
          <cell r="AG78" t="str">
            <v>ARTURO GUTIERREZ JAQUEZ</v>
          </cell>
          <cell r="AH78">
            <v>46084</v>
          </cell>
        </row>
        <row r="79">
          <cell r="A79" t="str">
            <v>24/2026</v>
          </cell>
          <cell r="B79">
            <v>24</v>
          </cell>
          <cell r="C79" t="str">
            <v>SUBROGACION</v>
          </cell>
          <cell r="D79">
            <v>46048</v>
          </cell>
          <cell r="E79" t="str">
            <v>ORTOPEDIA Y TRAUMA</v>
          </cell>
          <cell r="F79" t="str">
            <v>N/A</v>
          </cell>
          <cell r="G79">
            <v>3992100001</v>
          </cell>
          <cell r="H79" t="str">
            <v>RENTA DE SPIDER</v>
          </cell>
          <cell r="I79">
            <v>1</v>
          </cell>
          <cell r="J79" t="str">
            <v>SERVICIO</v>
          </cell>
          <cell r="K79">
            <v>3992</v>
          </cell>
          <cell r="L79" t="str">
            <v>EDGAR EDUARDO ANDRADE LOPEZ</v>
          </cell>
          <cell r="M79">
            <v>2010355</v>
          </cell>
          <cell r="N79" t="str">
            <v>EDGAR EDUARDO ANDRADE LOPEZ</v>
          </cell>
          <cell r="O79">
            <v>14193556</v>
          </cell>
          <cell r="P79" t="str">
            <v>JESUS</v>
          </cell>
          <cell r="Q79">
            <v>46048</v>
          </cell>
          <cell r="R79" t="str">
            <v>RECURSOS FINANCIEROS</v>
          </cell>
          <cell r="T79" t="str">
            <v>520/2026</v>
          </cell>
          <cell r="U79">
            <v>46078</v>
          </cell>
          <cell r="V79">
            <v>0</v>
          </cell>
          <cell r="W79">
            <v>0</v>
          </cell>
          <cell r="X79">
            <v>0</v>
          </cell>
          <cell r="Y79">
            <v>0</v>
          </cell>
          <cell r="Z79" t="str">
            <v>3 / 6</v>
          </cell>
          <cell r="AA79">
            <v>46063</v>
          </cell>
          <cell r="AB79">
            <v>46084</v>
          </cell>
          <cell r="AC79">
            <v>5</v>
          </cell>
        </row>
        <row r="80">
          <cell r="A80" t="str">
            <v>24/2026</v>
          </cell>
          <cell r="B80">
            <v>24</v>
          </cell>
          <cell r="C80" t="str">
            <v>SUBROGACION</v>
          </cell>
          <cell r="D80">
            <v>46048</v>
          </cell>
          <cell r="E80" t="str">
            <v>ORTOPEDIA Y TRAUMA</v>
          </cell>
          <cell r="F80" t="str">
            <v>N/A</v>
          </cell>
          <cell r="G80">
            <v>3992100001</v>
          </cell>
          <cell r="H80" t="str">
            <v>RENTA DE CONTRASPIDER</v>
          </cell>
          <cell r="I80">
            <v>1</v>
          </cell>
          <cell r="J80" t="str">
            <v>SERVICIO</v>
          </cell>
          <cell r="K80">
            <v>3992</v>
          </cell>
          <cell r="L80" t="str">
            <v>EDGAR EDUARDO ANDRADE LOPEZ</v>
          </cell>
          <cell r="M80">
            <v>2010355</v>
          </cell>
          <cell r="N80" t="str">
            <v>EDGAR EDUARDO ANDRADE LOPEZ</v>
          </cell>
          <cell r="O80">
            <v>14193556</v>
          </cell>
          <cell r="P80" t="str">
            <v>JESUS</v>
          </cell>
          <cell r="Q80">
            <v>46048</v>
          </cell>
          <cell r="R80" t="str">
            <v>RECURSOS FINANCIEROS</v>
          </cell>
          <cell r="T80" t="str">
            <v>520/2026</v>
          </cell>
          <cell r="U80">
            <v>46078</v>
          </cell>
          <cell r="V80">
            <v>0</v>
          </cell>
          <cell r="W80">
            <v>0</v>
          </cell>
          <cell r="X80">
            <v>0</v>
          </cell>
          <cell r="Y80">
            <v>0</v>
          </cell>
          <cell r="Z80" t="str">
            <v>3 / 6</v>
          </cell>
          <cell r="AA80">
            <v>46063</v>
          </cell>
          <cell r="AB80">
            <v>46084</v>
          </cell>
          <cell r="AC80">
            <v>5</v>
          </cell>
        </row>
        <row r="81">
          <cell r="A81" t="str">
            <v>24/2026</v>
          </cell>
          <cell r="B81">
            <v>24</v>
          </cell>
          <cell r="C81" t="str">
            <v>SUBROGACION</v>
          </cell>
          <cell r="D81">
            <v>46048</v>
          </cell>
          <cell r="E81" t="str">
            <v>ORTOPEDIA Y TRAUMA</v>
          </cell>
          <cell r="F81" t="str">
            <v>N/A</v>
          </cell>
          <cell r="G81">
            <v>3992100001</v>
          </cell>
          <cell r="H81" t="str">
            <v>RENTA DE KIDE</v>
          </cell>
          <cell r="I81">
            <v>1</v>
          </cell>
          <cell r="J81" t="str">
            <v>SERVICIO</v>
          </cell>
          <cell r="K81">
            <v>3992</v>
          </cell>
          <cell r="L81" t="str">
            <v>EDGAR EDUARDO ANDRADE LOPEZ</v>
          </cell>
          <cell r="M81">
            <v>2010355</v>
          </cell>
          <cell r="N81" t="str">
            <v>EDGAR EDUARDO ANDRADE LOPEZ</v>
          </cell>
          <cell r="O81">
            <v>14193556</v>
          </cell>
          <cell r="P81" t="str">
            <v>JESUS</v>
          </cell>
          <cell r="Q81">
            <v>46048</v>
          </cell>
          <cell r="R81" t="str">
            <v>RECURSOS FINANCIEROS</v>
          </cell>
          <cell r="T81" t="str">
            <v>520/2026</v>
          </cell>
          <cell r="U81">
            <v>46078</v>
          </cell>
          <cell r="V81">
            <v>0</v>
          </cell>
          <cell r="W81">
            <v>0</v>
          </cell>
          <cell r="X81">
            <v>0</v>
          </cell>
          <cell r="Y81">
            <v>0</v>
          </cell>
          <cell r="Z81" t="str">
            <v>3 / 6</v>
          </cell>
          <cell r="AA81">
            <v>46063</v>
          </cell>
          <cell r="AB81">
            <v>46084</v>
          </cell>
          <cell r="AC81">
            <v>5</v>
          </cell>
        </row>
        <row r="82">
          <cell r="A82" t="str">
            <v>25/2026</v>
          </cell>
          <cell r="B82">
            <v>25</v>
          </cell>
          <cell r="C82" t="str">
            <v>SUBROGACION</v>
          </cell>
          <cell r="D82">
            <v>46048</v>
          </cell>
          <cell r="E82" t="str">
            <v>ORTOPEDIA Y TRAUMA</v>
          </cell>
          <cell r="F82" t="str">
            <v>N/A</v>
          </cell>
          <cell r="G82">
            <v>3992100001</v>
          </cell>
          <cell r="H82" t="str">
            <v>PROTESIS TOTAL DE CADERA CON VASTAGO CEMENTADO CON 1 CEMENTO OSEO, 1 TAPON DISTAL, 1 CARTUCHO PARA CEMENTADO, CABEZA METALICA COPA ACETABULAR ATORNILLADA 3 TORNILLOS Y LINER POLIETILENO; (72.1 FRACTURA PRETROCANTERIANA).</v>
          </cell>
          <cell r="I82">
            <v>1</v>
          </cell>
          <cell r="J82" t="str">
            <v>PIEZA</v>
          </cell>
          <cell r="K82">
            <v>3992</v>
          </cell>
          <cell r="L82" t="str">
            <v>BELTRAN LOZADA KARLA PATRICIA</v>
          </cell>
          <cell r="M82">
            <v>940832</v>
          </cell>
          <cell r="N82" t="str">
            <v>LOZADA ALVARADO LAURA GUADALUPE</v>
          </cell>
          <cell r="O82">
            <v>14012302</v>
          </cell>
          <cell r="P82" t="str">
            <v>JESUS</v>
          </cell>
          <cell r="Q82">
            <v>46048</v>
          </cell>
          <cell r="R82" t="str">
            <v>AUT CAA</v>
          </cell>
          <cell r="V82">
            <v>62199</v>
          </cell>
          <cell r="W82">
            <v>62199</v>
          </cell>
          <cell r="X82">
            <v>9951.84</v>
          </cell>
          <cell r="Y82">
            <v>72150.84</v>
          </cell>
          <cell r="Z82">
            <v>5</v>
          </cell>
          <cell r="AA82">
            <v>46070</v>
          </cell>
        </row>
        <row r="83">
          <cell r="A83" t="str">
            <v>25/2026</v>
          </cell>
          <cell r="B83">
            <v>25</v>
          </cell>
          <cell r="C83" t="str">
            <v>SUBROGACION</v>
          </cell>
          <cell r="D83">
            <v>46048</v>
          </cell>
          <cell r="E83" t="str">
            <v>ORTOPEDIA Y TRAUMA</v>
          </cell>
          <cell r="F83" t="str">
            <v>N/A</v>
          </cell>
          <cell r="G83">
            <v>3992100001</v>
          </cell>
          <cell r="H83" t="str">
            <v>SET DE COLOCACION Y APOYO</v>
          </cell>
          <cell r="I83">
            <v>1</v>
          </cell>
          <cell r="J83" t="str">
            <v>SERVICIO</v>
          </cell>
          <cell r="K83">
            <v>3992</v>
          </cell>
          <cell r="L83" t="str">
            <v>BELTRAN LOZADA KARLA PATRICIA</v>
          </cell>
          <cell r="M83">
            <v>940832</v>
          </cell>
          <cell r="N83" t="str">
            <v>LOZADA ALVARADO LAURA GUADALUPE</v>
          </cell>
          <cell r="O83">
            <v>14012302</v>
          </cell>
          <cell r="P83" t="str">
            <v>JESUS</v>
          </cell>
          <cell r="Q83">
            <v>46048</v>
          </cell>
          <cell r="R83" t="str">
            <v>AUT CAA</v>
          </cell>
          <cell r="W83">
            <v>0</v>
          </cell>
          <cell r="X83">
            <v>0</v>
          </cell>
          <cell r="Y83">
            <v>0</v>
          </cell>
          <cell r="Z83">
            <v>5</v>
          </cell>
          <cell r="AA83">
            <v>46070</v>
          </cell>
        </row>
        <row r="84">
          <cell r="A84" t="str">
            <v>25/2026</v>
          </cell>
          <cell r="B84">
            <v>25</v>
          </cell>
          <cell r="C84" t="str">
            <v>SUBROGACION</v>
          </cell>
          <cell r="D84">
            <v>46048</v>
          </cell>
          <cell r="E84" t="str">
            <v>ORTOPEDIA Y TRAUMA</v>
          </cell>
          <cell r="F84" t="str">
            <v>N/A</v>
          </cell>
          <cell r="G84">
            <v>3992100001</v>
          </cell>
          <cell r="H84" t="str">
            <v>CENTRALIZADOR Y TAPON DISTAL</v>
          </cell>
          <cell r="I84">
            <v>1</v>
          </cell>
          <cell r="J84" t="str">
            <v>SERVICIO</v>
          </cell>
          <cell r="K84">
            <v>3992</v>
          </cell>
          <cell r="L84" t="str">
            <v>BELTRAN LOZADA KARLA PATRICIA</v>
          </cell>
          <cell r="M84">
            <v>940832</v>
          </cell>
          <cell r="N84" t="str">
            <v>LOZADA ALVARADO LAURA GUADALUPE</v>
          </cell>
          <cell r="O84">
            <v>14012302</v>
          </cell>
          <cell r="P84" t="str">
            <v>JESUS</v>
          </cell>
          <cell r="Q84">
            <v>46048</v>
          </cell>
          <cell r="R84" t="str">
            <v>AUT CAA</v>
          </cell>
          <cell r="W84">
            <v>0</v>
          </cell>
          <cell r="X84">
            <v>0</v>
          </cell>
          <cell r="Y84">
            <v>0</v>
          </cell>
          <cell r="Z84">
            <v>5</v>
          </cell>
          <cell r="AA84">
            <v>46070</v>
          </cell>
        </row>
        <row r="85">
          <cell r="A85" t="str">
            <v>25/2026</v>
          </cell>
          <cell r="B85">
            <v>25</v>
          </cell>
          <cell r="C85" t="str">
            <v>SUBROGACION</v>
          </cell>
          <cell r="D85">
            <v>46048</v>
          </cell>
          <cell r="E85" t="str">
            <v>ORTOPEDIA Y TRAUMA</v>
          </cell>
          <cell r="F85" t="str">
            <v>N/A</v>
          </cell>
          <cell r="G85">
            <v>3992100001</v>
          </cell>
          <cell r="H85" t="str">
            <v>COLOCADOR DE CEMENTO, PISTOLA T CARTUCHO</v>
          </cell>
          <cell r="I85">
            <v>1</v>
          </cell>
          <cell r="J85" t="str">
            <v>SERVICIO</v>
          </cell>
          <cell r="K85">
            <v>3992</v>
          </cell>
          <cell r="L85" t="str">
            <v>BELTRAN LOZADA KARLA PATRICIA</v>
          </cell>
          <cell r="M85">
            <v>940832</v>
          </cell>
          <cell r="N85" t="str">
            <v>LOZADA ALVARADO LAURA GUADALUPE</v>
          </cell>
          <cell r="O85">
            <v>14012302</v>
          </cell>
          <cell r="P85" t="str">
            <v>JESUS</v>
          </cell>
          <cell r="Q85">
            <v>46048</v>
          </cell>
          <cell r="R85" t="str">
            <v>AUT CAA</v>
          </cell>
          <cell r="W85">
            <v>0</v>
          </cell>
          <cell r="X85">
            <v>0</v>
          </cell>
          <cell r="Y85">
            <v>0</v>
          </cell>
          <cell r="Z85">
            <v>5</v>
          </cell>
          <cell r="AA85">
            <v>46070</v>
          </cell>
        </row>
        <row r="86">
          <cell r="A86" t="str">
            <v>26/2026</v>
          </cell>
          <cell r="B86">
            <v>26</v>
          </cell>
          <cell r="C86" t="str">
            <v>SUBROGACION</v>
          </cell>
          <cell r="D86">
            <v>46048</v>
          </cell>
          <cell r="E86" t="str">
            <v>REUMATOLOGIA</v>
          </cell>
          <cell r="F86" t="str">
            <v>N/A</v>
          </cell>
          <cell r="G86">
            <v>3992100001</v>
          </cell>
          <cell r="H86" t="str">
            <v>010.000.6186.00 BARICITINIB. TABLETA. CADA TABLETA CONTIENE: BARICITINIB 4 MG ENVASE CON 28 TABLETAS.</v>
          </cell>
          <cell r="I86">
            <v>3</v>
          </cell>
          <cell r="J86" t="str">
            <v>SERVICIO</v>
          </cell>
          <cell r="K86">
            <v>3992</v>
          </cell>
          <cell r="L86" t="str">
            <v>JUÁREZ PINZÓN CLAUDIA</v>
          </cell>
          <cell r="M86">
            <v>981690</v>
          </cell>
          <cell r="N86" t="str">
            <v>JUÁREZ PINZÓN CLAUDIA</v>
          </cell>
          <cell r="O86">
            <v>5046205</v>
          </cell>
          <cell r="P86" t="str">
            <v>JESUS</v>
          </cell>
          <cell r="Q86">
            <v>46048</v>
          </cell>
          <cell r="R86" t="str">
            <v>COTIZACION</v>
          </cell>
        </row>
        <row r="87">
          <cell r="A87" t="str">
            <v>27/2026</v>
          </cell>
          <cell r="B87">
            <v>27</v>
          </cell>
          <cell r="C87" t="str">
            <v>SUBROGACION</v>
          </cell>
          <cell r="D87">
            <v>46048</v>
          </cell>
          <cell r="E87" t="str">
            <v>ORTOPEDIA Y TRAUMA</v>
          </cell>
          <cell r="F87" t="str">
            <v>N/A</v>
          </cell>
          <cell r="G87">
            <v>3992100001</v>
          </cell>
          <cell r="H87" t="str">
            <v>RENTA DE FRESA DE ALTA VELOCIDAD</v>
          </cell>
          <cell r="I87">
            <v>1</v>
          </cell>
          <cell r="J87" t="str">
            <v>SERVICIO</v>
          </cell>
          <cell r="K87">
            <v>3992</v>
          </cell>
          <cell r="L87" t="str">
            <v>CALAMATEO TERRONES BRYAN DAMIAN MARTIN</v>
          </cell>
          <cell r="M87">
            <v>2024281</v>
          </cell>
          <cell r="N87" t="str">
            <v>CALAMATEO TERRONES BRYAN DAMIAN MARTIN</v>
          </cell>
          <cell r="O87">
            <v>21009639</v>
          </cell>
          <cell r="P87" t="str">
            <v>JESUS</v>
          </cell>
          <cell r="Q87">
            <v>46048</v>
          </cell>
          <cell r="R87" t="str">
            <v>COTIZACION</v>
          </cell>
        </row>
        <row r="88">
          <cell r="A88" t="str">
            <v>27/2026</v>
          </cell>
          <cell r="B88">
            <v>27</v>
          </cell>
          <cell r="C88" t="str">
            <v>SUBROGACION</v>
          </cell>
          <cell r="D88">
            <v>46048</v>
          </cell>
          <cell r="E88" t="str">
            <v>ORTOPEDIA Y TRAUMA</v>
          </cell>
          <cell r="F88" t="str">
            <v>N/A</v>
          </cell>
          <cell r="G88">
            <v>3992100001</v>
          </cell>
          <cell r="H88" t="str">
            <v>NITROGENO LIQUIDO</v>
          </cell>
          <cell r="I88">
            <v>1</v>
          </cell>
          <cell r="J88" t="str">
            <v>PIEZA</v>
          </cell>
          <cell r="K88">
            <v>3992</v>
          </cell>
          <cell r="L88" t="str">
            <v>CALAMATEO TERRONES BRYAN DAMIAN MARTIN</v>
          </cell>
          <cell r="M88">
            <v>2024281</v>
          </cell>
          <cell r="N88" t="str">
            <v>CALAMATEO TERRONES BRYAN DAMIAN MARTIN</v>
          </cell>
          <cell r="O88">
            <v>21009639</v>
          </cell>
          <cell r="P88" t="str">
            <v>JESUS</v>
          </cell>
          <cell r="Q88">
            <v>46048</v>
          </cell>
          <cell r="R88" t="str">
            <v>COTIZACION</v>
          </cell>
        </row>
        <row r="89">
          <cell r="A89" t="str">
            <v>27/2026</v>
          </cell>
          <cell r="B89">
            <v>27</v>
          </cell>
          <cell r="C89" t="str">
            <v>SUBROGACION</v>
          </cell>
          <cell r="D89">
            <v>46048</v>
          </cell>
          <cell r="E89" t="str">
            <v>ORTOPEDIA Y TRAUMA</v>
          </cell>
          <cell r="F89" t="str">
            <v>N/A</v>
          </cell>
          <cell r="G89">
            <v>3992100001</v>
          </cell>
          <cell r="H89" t="str">
            <v>PLACA LCP PARA FEMUR PROXIMAL 4.5 MM</v>
          </cell>
          <cell r="I89">
            <v>1</v>
          </cell>
          <cell r="J89" t="str">
            <v>PIEZA</v>
          </cell>
          <cell r="K89">
            <v>3992</v>
          </cell>
          <cell r="L89" t="str">
            <v>CALAMATEO TERRONES BRYAN DAMIAN MARTIN</v>
          </cell>
          <cell r="M89">
            <v>2024281</v>
          </cell>
          <cell r="N89" t="str">
            <v>CALAMATEO TERRONES BRYAN DAMIAN MARTIN</v>
          </cell>
          <cell r="O89">
            <v>21009639</v>
          </cell>
          <cell r="P89" t="str">
            <v>JESUS</v>
          </cell>
          <cell r="Q89">
            <v>46048</v>
          </cell>
          <cell r="R89" t="str">
            <v>COTIZACION</v>
          </cell>
        </row>
        <row r="90">
          <cell r="A90" t="str">
            <v>27/2026</v>
          </cell>
          <cell r="B90">
            <v>27</v>
          </cell>
          <cell r="C90" t="str">
            <v>SUBROGACION</v>
          </cell>
          <cell r="D90">
            <v>46048</v>
          </cell>
          <cell r="E90" t="str">
            <v>ORTOPEDIA Y TRAUMA</v>
          </cell>
          <cell r="F90" t="str">
            <v>N/A</v>
          </cell>
          <cell r="G90">
            <v>3992100001</v>
          </cell>
          <cell r="H90" t="str">
            <v>RENTA DE SIERRA OSCILANTE</v>
          </cell>
          <cell r="I90">
            <v>1</v>
          </cell>
          <cell r="J90" t="str">
            <v>SERVICIO</v>
          </cell>
          <cell r="K90">
            <v>3992</v>
          </cell>
          <cell r="L90" t="str">
            <v>CALAMATEO TERRONES BRYAN DAMIAN MARTIN</v>
          </cell>
          <cell r="M90">
            <v>2024281</v>
          </cell>
          <cell r="N90" t="str">
            <v>CALAMATEO TERRONES BRYAN DAMIAN MARTIN</v>
          </cell>
          <cell r="O90">
            <v>21009639</v>
          </cell>
          <cell r="P90" t="str">
            <v>JESUS</v>
          </cell>
          <cell r="Q90">
            <v>46048</v>
          </cell>
          <cell r="R90" t="str">
            <v>COTIZACION</v>
          </cell>
        </row>
        <row r="91">
          <cell r="A91" t="str">
            <v>27/2026</v>
          </cell>
          <cell r="B91">
            <v>27</v>
          </cell>
          <cell r="C91" t="str">
            <v>SUBROGACION</v>
          </cell>
          <cell r="D91">
            <v>46048</v>
          </cell>
          <cell r="E91" t="str">
            <v>ORTOPEDIA Y TRAUMA</v>
          </cell>
          <cell r="F91" t="str">
            <v>N/A</v>
          </cell>
          <cell r="G91">
            <v>3992100001</v>
          </cell>
          <cell r="H91" t="str">
            <v>MATERIAL DE APOYO</v>
          </cell>
          <cell r="I91">
            <v>1</v>
          </cell>
          <cell r="J91" t="str">
            <v>SERVICIO</v>
          </cell>
          <cell r="K91">
            <v>3992</v>
          </cell>
          <cell r="L91" t="str">
            <v>CALAMATEO TERRONES BRYAN DAMIAN MARTIN</v>
          </cell>
          <cell r="M91">
            <v>2024281</v>
          </cell>
          <cell r="N91" t="str">
            <v>CALAMATEO TERRONES BRYAN DAMIAN MARTIN</v>
          </cell>
          <cell r="O91">
            <v>21009639</v>
          </cell>
          <cell r="P91" t="str">
            <v>JESUS</v>
          </cell>
          <cell r="Q91">
            <v>46048</v>
          </cell>
          <cell r="R91" t="str">
            <v>COTIZACION</v>
          </cell>
        </row>
        <row r="92">
          <cell r="A92" t="str">
            <v>27/2026</v>
          </cell>
          <cell r="B92">
            <v>27</v>
          </cell>
          <cell r="C92" t="str">
            <v>SUBROGACION</v>
          </cell>
          <cell r="D92">
            <v>46048</v>
          </cell>
          <cell r="E92" t="str">
            <v>ORTOPEDIA Y TRAUMA</v>
          </cell>
          <cell r="F92" t="str">
            <v>N/A</v>
          </cell>
          <cell r="G92">
            <v>3992100001</v>
          </cell>
          <cell r="H92" t="str">
            <v>PERFORADOR ESTERIL</v>
          </cell>
          <cell r="I92">
            <v>1</v>
          </cell>
          <cell r="J92" t="str">
            <v>SERVICIO</v>
          </cell>
          <cell r="K92">
            <v>3992</v>
          </cell>
          <cell r="L92" t="str">
            <v>CALAMATEO TERRONES BRYAN DAMIAN MARTIN</v>
          </cell>
          <cell r="M92">
            <v>2024281</v>
          </cell>
          <cell r="N92" t="str">
            <v>CALAMATEO TERRONES BRYAN DAMIAN MARTIN</v>
          </cell>
          <cell r="O92">
            <v>21009639</v>
          </cell>
          <cell r="P92" t="str">
            <v>JESUS</v>
          </cell>
          <cell r="Q92">
            <v>46048</v>
          </cell>
          <cell r="R92" t="str">
            <v>COTIZACION</v>
          </cell>
        </row>
        <row r="93">
          <cell r="A93" t="str">
            <v>28/2026</v>
          </cell>
          <cell r="B93">
            <v>28</v>
          </cell>
          <cell r="C93" t="str">
            <v>SUBROGACION</v>
          </cell>
          <cell r="D93">
            <v>46048</v>
          </cell>
          <cell r="E93" t="str">
            <v>ONCOLOGIA</v>
          </cell>
          <cell r="F93" t="str">
            <v>N/A</v>
          </cell>
          <cell r="G93">
            <v>3992100001</v>
          </cell>
          <cell r="H93" t="str">
            <v>PET - CT 18-FDG</v>
          </cell>
          <cell r="I93">
            <v>1</v>
          </cell>
          <cell r="J93" t="str">
            <v>SERVICIO</v>
          </cell>
          <cell r="K93">
            <v>3992</v>
          </cell>
          <cell r="L93" t="str">
            <v>MARIA DE LOURDES GARCIA GAZCON</v>
          </cell>
          <cell r="M93">
            <v>2000219</v>
          </cell>
          <cell r="N93" t="str">
            <v>MARIA DE LOURDES GARCIA GAZCON</v>
          </cell>
          <cell r="O93">
            <v>6024130</v>
          </cell>
          <cell r="P93" t="str">
            <v>JESUS</v>
          </cell>
          <cell r="Q93">
            <v>46048</v>
          </cell>
          <cell r="R93" t="str">
            <v>RECURSOS FINANCIEROS</v>
          </cell>
          <cell r="T93" t="str">
            <v>473/2026</v>
          </cell>
          <cell r="U93">
            <v>46042</v>
          </cell>
          <cell r="V93">
            <v>13706.9</v>
          </cell>
          <cell r="W93">
            <v>13706.896551724139</v>
          </cell>
          <cell r="X93">
            <v>2193.1034482758623</v>
          </cell>
          <cell r="Y93">
            <v>15900</v>
          </cell>
          <cell r="Z93">
            <v>3</v>
          </cell>
          <cell r="AA93">
            <v>46063</v>
          </cell>
          <cell r="AB93">
            <v>46079</v>
          </cell>
          <cell r="AC93">
            <v>4</v>
          </cell>
          <cell r="AG93" t="str">
            <v>GUADALAJARA PET S DE RL DE CV</v>
          </cell>
        </row>
        <row r="94">
          <cell r="A94" t="str">
            <v>29/2026</v>
          </cell>
          <cell r="B94">
            <v>29</v>
          </cell>
          <cell r="C94" t="str">
            <v>REEMBOLSO</v>
          </cell>
          <cell r="D94">
            <v>46049</v>
          </cell>
          <cell r="E94" t="str">
            <v>COORDINACION ADMINISTRATIVA</v>
          </cell>
          <cell r="F94" t="str">
            <v>AHCGSA/94/2026</v>
          </cell>
          <cell r="G94">
            <v>3551007008</v>
          </cell>
          <cell r="H94" t="str">
            <v>SERVICIO DE AFINACION DE MOTOR PARA UNIDAD DE 6 Y 8 CILINDROS( SUBMARCA  F-150 XL,F250,F350,ECONOLINE,VAN ECONOLINE,VAN EXPREES).</v>
          </cell>
          <cell r="I94">
            <v>1</v>
          </cell>
          <cell r="J94" t="str">
            <v>SERVICIO</v>
          </cell>
          <cell r="K94">
            <v>3551</v>
          </cell>
          <cell r="L94" t="str">
            <v>SALVADOR RODRIGUEZ MENDEZ</v>
          </cell>
          <cell r="N94" t="str">
            <v>SALVADOR RODRIGUEZ MENDEZ</v>
          </cell>
          <cell r="P94" t="str">
            <v>BRENDA</v>
          </cell>
          <cell r="Q94">
            <v>46049</v>
          </cell>
          <cell r="R94" t="str">
            <v>RECURSOS FINANCIEROS</v>
          </cell>
          <cell r="T94" t="str">
            <v>545/2026</v>
          </cell>
          <cell r="U94">
            <v>46080</v>
          </cell>
          <cell r="V94">
            <v>17000</v>
          </cell>
          <cell r="W94">
            <v>17000</v>
          </cell>
          <cell r="X94">
            <v>2720</v>
          </cell>
          <cell r="Y94">
            <v>19720</v>
          </cell>
          <cell r="Z94">
            <v>7</v>
          </cell>
          <cell r="AA94">
            <v>46083</v>
          </cell>
          <cell r="AB94">
            <v>46091</v>
          </cell>
          <cell r="AC94">
            <v>8</v>
          </cell>
          <cell r="AD94" t="str">
            <v>N/A</v>
          </cell>
          <cell r="AE94" t="str">
            <v>N/A</v>
          </cell>
          <cell r="AF94" t="str">
            <v>N/A</v>
          </cell>
          <cell r="AG94" t="str">
            <v xml:space="preserve">SALVADOR RODRIGUEZ MENDEZ </v>
          </cell>
        </row>
        <row r="95">
          <cell r="A95" t="str">
            <v>30/2026</v>
          </cell>
          <cell r="B95">
            <v>30</v>
          </cell>
          <cell r="C95" t="str">
            <v>REEMBOLSO</v>
          </cell>
          <cell r="D95">
            <v>46050</v>
          </cell>
          <cell r="E95" t="str">
            <v>TRAUMATOLOGIA PEDIATRICA</v>
          </cell>
          <cell r="F95" t="str">
            <v>N/A</v>
          </cell>
          <cell r="G95">
            <v>3992100001</v>
          </cell>
          <cell r="H95" t="str">
            <v>RESONANCIA MAGNETICA SIMPLE DE RODILLA IZQUIERDA</v>
          </cell>
          <cell r="I95">
            <v>1</v>
          </cell>
          <cell r="J95" t="str">
            <v>SERVICIO</v>
          </cell>
          <cell r="K95">
            <v>3992</v>
          </cell>
          <cell r="L95" t="str">
            <v>JHAIR ISRAEL GARCIA CAMACHO</v>
          </cell>
          <cell r="M95">
            <v>2025274</v>
          </cell>
          <cell r="N95" t="str">
            <v>GARCIA RIVERA VALERIA JAZMIN</v>
          </cell>
          <cell r="O95">
            <v>15170435</v>
          </cell>
          <cell r="P95" t="str">
            <v>JESUS</v>
          </cell>
          <cell r="Q95">
            <v>46050</v>
          </cell>
          <cell r="R95" t="str">
            <v>RECURSOS FINANCIEROS</v>
          </cell>
          <cell r="T95" t="str">
            <v>474/2026</v>
          </cell>
          <cell r="U95">
            <v>46043</v>
          </cell>
          <cell r="V95">
            <v>2500</v>
          </cell>
          <cell r="W95">
            <v>2500</v>
          </cell>
          <cell r="X95">
            <v>400</v>
          </cell>
          <cell r="Y95">
            <v>2900</v>
          </cell>
          <cell r="Z95">
            <v>4</v>
          </cell>
          <cell r="AA95">
            <v>46065</v>
          </cell>
          <cell r="AB95">
            <v>46079</v>
          </cell>
          <cell r="AC95">
            <v>4</v>
          </cell>
          <cell r="AG95" t="str">
            <v>JHAIR ISRAEL GARCIA CAMACHO</v>
          </cell>
        </row>
        <row r="96">
          <cell r="A96" t="str">
            <v>31/2026</v>
          </cell>
          <cell r="B96">
            <v>31</v>
          </cell>
          <cell r="C96" t="str">
            <v>REEMBOLSO</v>
          </cell>
          <cell r="D96">
            <v>46050</v>
          </cell>
          <cell r="E96" t="str">
            <v>PROCTOLOGIA</v>
          </cell>
          <cell r="F96" t="str">
            <v>N/A</v>
          </cell>
          <cell r="G96">
            <v>3992100001</v>
          </cell>
          <cell r="H96" t="str">
            <v>RESONANCIA MAGNETICA</v>
          </cell>
          <cell r="I96">
            <v>1</v>
          </cell>
          <cell r="J96" t="str">
            <v>SERVICIO</v>
          </cell>
          <cell r="K96">
            <v>3992</v>
          </cell>
          <cell r="L96" t="str">
            <v>MARIO CASTILLO PEREZ</v>
          </cell>
          <cell r="M96">
            <v>941053</v>
          </cell>
          <cell r="N96" t="str">
            <v>MARIO CASTILLO PEREZ</v>
          </cell>
          <cell r="O96">
            <v>7031631</v>
          </cell>
          <cell r="P96" t="str">
            <v>JESUS</v>
          </cell>
          <cell r="Q96">
            <v>46050</v>
          </cell>
          <cell r="R96" t="str">
            <v>RECURSOS FINANCIEROS</v>
          </cell>
          <cell r="T96" t="str">
            <v>495/2026</v>
          </cell>
          <cell r="U96">
            <v>46037</v>
          </cell>
          <cell r="V96">
            <v>3448.2758620689656</v>
          </cell>
          <cell r="W96">
            <v>3448.28</v>
          </cell>
          <cell r="X96">
            <v>551.72480000000007</v>
          </cell>
          <cell r="Y96">
            <v>4000</v>
          </cell>
          <cell r="Z96">
            <v>4</v>
          </cell>
          <cell r="AA96">
            <v>46065</v>
          </cell>
          <cell r="AB96">
            <v>46079</v>
          </cell>
          <cell r="AC96">
            <v>4</v>
          </cell>
          <cell r="AG96" t="str">
            <v>MARIO CASTILLO PEREZ</v>
          </cell>
        </row>
        <row r="97">
          <cell r="A97" t="str">
            <v>32/2026</v>
          </cell>
          <cell r="B97">
            <v>32</v>
          </cell>
          <cell r="C97" t="str">
            <v>REEMBOLSO</v>
          </cell>
          <cell r="D97">
            <v>46052</v>
          </cell>
          <cell r="E97" t="str">
            <v>MEDICINA FISICA Y REHABILITACION</v>
          </cell>
          <cell r="F97" t="str">
            <v>N/A</v>
          </cell>
          <cell r="G97">
            <v>3992100001</v>
          </cell>
          <cell r="H97" t="str">
            <v>RESONANCIA MAGNETICA DE HOMBRO SIMPLE</v>
          </cell>
          <cell r="I97">
            <v>1</v>
          </cell>
          <cell r="J97" t="str">
            <v>SERVICIO</v>
          </cell>
          <cell r="K97">
            <v>3992</v>
          </cell>
          <cell r="L97" t="str">
            <v>ALEJANDRO HERNANDEZ MARTINEZ</v>
          </cell>
          <cell r="M97">
            <v>990033</v>
          </cell>
          <cell r="N97" t="str">
            <v>AXEL ALEJANDRO HERNANDEZ SALDAÑA</v>
          </cell>
          <cell r="O97">
            <v>7066044</v>
          </cell>
          <cell r="P97" t="str">
            <v>JESUS</v>
          </cell>
          <cell r="Q97">
            <v>46052</v>
          </cell>
          <cell r="R97" t="str">
            <v>RECURSOS FINANCIEROS</v>
          </cell>
          <cell r="T97" t="str">
            <v>475/2026</v>
          </cell>
          <cell r="U97">
            <v>46045</v>
          </cell>
          <cell r="V97">
            <v>2500</v>
          </cell>
          <cell r="W97">
            <v>2500</v>
          </cell>
          <cell r="X97">
            <v>400</v>
          </cell>
          <cell r="Y97">
            <v>2900</v>
          </cell>
          <cell r="Z97">
            <v>4</v>
          </cell>
          <cell r="AA97">
            <v>46065</v>
          </cell>
          <cell r="AB97">
            <v>46079</v>
          </cell>
          <cell r="AC97">
            <v>4</v>
          </cell>
          <cell r="AG97" t="str">
            <v>ALEJANDRO HERNANDEZ MARTINEZ</v>
          </cell>
        </row>
        <row r="98">
          <cell r="A98" t="str">
            <v>33/2026</v>
          </cell>
          <cell r="B98">
            <v>33</v>
          </cell>
          <cell r="C98" t="str">
            <v>SUBROGACION</v>
          </cell>
          <cell r="D98">
            <v>46052</v>
          </cell>
          <cell r="E98" t="str">
            <v>REUMATOLOGIA</v>
          </cell>
          <cell r="F98" t="str">
            <v>N/A</v>
          </cell>
          <cell r="G98">
            <v>3992100001</v>
          </cell>
          <cell r="H98" t="str">
            <v>010.000.6186.00 BARICITINIB. TABLETA. CADA TABLETA CONTIENE: BARICITINIB 4 MG ENVASE CON 28 TABLETAS.</v>
          </cell>
          <cell r="I98">
            <v>2</v>
          </cell>
          <cell r="J98" t="str">
            <v>PIEZA</v>
          </cell>
          <cell r="K98">
            <v>3992</v>
          </cell>
          <cell r="L98" t="str">
            <v>MARIA DEL PILAR RODRIGUEZ GUEVARA</v>
          </cell>
          <cell r="M98">
            <v>910008</v>
          </cell>
          <cell r="N98" t="str">
            <v>MARIA DEL PILAR RODRIGUEZ GUEVARA</v>
          </cell>
          <cell r="O98">
            <v>6055174</v>
          </cell>
          <cell r="P98" t="str">
            <v>JESUS</v>
          </cell>
          <cell r="Q98">
            <v>46052</v>
          </cell>
          <cell r="R98" t="str">
            <v>COTIZACION</v>
          </cell>
          <cell r="AG98" t="str">
            <v>IRENE GONZALEZ CASTRO</v>
          </cell>
        </row>
        <row r="99">
          <cell r="A99" t="str">
            <v>34/2026</v>
          </cell>
          <cell r="B99">
            <v>34</v>
          </cell>
          <cell r="C99" t="str">
            <v>COMPRA POR FONDO</v>
          </cell>
          <cell r="D99">
            <v>46052</v>
          </cell>
          <cell r="E99" t="str">
            <v>FISIOLOGIA PULMONAR</v>
          </cell>
          <cell r="F99" t="str">
            <v>AHCGSA/108/2026</v>
          </cell>
          <cell r="G99">
            <v>2951005147</v>
          </cell>
          <cell r="H99" t="str">
            <v>HUMIDIFICADOR SERVOCONTROLADO CON TEMPERATURA DE 37C EN MODO INVASIVO Y 33C EN MODO NO INVASIVO CON HUMEDAD DE 100% HR Y DE 44MG/LHA (MR850) SOPORTE CABLE ADAPTADOR CON CALBE CALENTADOR SENSOR DE TEMPERATURA PARA VENTILADOR BABYLOG 8000 PLUS</v>
          </cell>
          <cell r="I99">
            <v>70</v>
          </cell>
          <cell r="J99" t="str">
            <v>SET</v>
          </cell>
          <cell r="K99">
            <v>2951</v>
          </cell>
          <cell r="L99" t="str">
            <v>N/A</v>
          </cell>
          <cell r="M99" t="str">
            <v>N/A</v>
          </cell>
          <cell r="N99" t="str">
            <v>N/A</v>
          </cell>
          <cell r="O99" t="str">
            <v>N/A</v>
          </cell>
          <cell r="P99" t="str">
            <v>BRENDA</v>
          </cell>
          <cell r="Q99">
            <v>46052</v>
          </cell>
          <cell r="R99" t="str">
            <v>COTIZACION</v>
          </cell>
        </row>
        <row r="100">
          <cell r="A100" t="str">
            <v>35/2026</v>
          </cell>
          <cell r="B100">
            <v>35</v>
          </cell>
          <cell r="C100" t="str">
            <v>SUBROGACION</v>
          </cell>
          <cell r="D100">
            <v>46052</v>
          </cell>
          <cell r="E100" t="str">
            <v>NEFROLOGIA Y TRANSPLANTE</v>
          </cell>
          <cell r="F100" t="str">
            <v>N/A</v>
          </cell>
          <cell r="G100">
            <v>39921004041</v>
          </cell>
          <cell r="H100" t="str">
            <v>ACIDO MICOFENOLICO 360 MG GRAGEA</v>
          </cell>
          <cell r="I100">
            <v>2</v>
          </cell>
          <cell r="J100" t="str">
            <v>CAJA</v>
          </cell>
          <cell r="K100">
            <v>3992</v>
          </cell>
          <cell r="L100" t="str">
            <v>MIGUEL ANGEL FLORES TINAJERO</v>
          </cell>
          <cell r="M100">
            <v>980677</v>
          </cell>
          <cell r="N100" t="str">
            <v>MIGUEL ANGEL FLORES TINAJERO</v>
          </cell>
          <cell r="O100">
            <v>7031906</v>
          </cell>
          <cell r="P100" t="str">
            <v>JESUS</v>
          </cell>
          <cell r="Q100">
            <v>46052</v>
          </cell>
          <cell r="R100" t="str">
            <v>RECURSOS FINANCIEROS</v>
          </cell>
          <cell r="T100" t="str">
            <v>500/2026</v>
          </cell>
          <cell r="U100">
            <v>46077</v>
          </cell>
          <cell r="V100">
            <v>3187.67</v>
          </cell>
          <cell r="W100">
            <v>6375.34</v>
          </cell>
          <cell r="X100" t="str">
            <v>N/A</v>
          </cell>
          <cell r="Y100">
            <v>6375.34</v>
          </cell>
          <cell r="Z100">
            <v>5</v>
          </cell>
          <cell r="AA100">
            <v>46070</v>
          </cell>
          <cell r="AB100">
            <v>46079</v>
          </cell>
          <cell r="AC100">
            <v>4</v>
          </cell>
          <cell r="AG100" t="str">
            <v>DISTRIBUCION ESPECIALIZADA DE MEDICAMENTOS SA DE CV</v>
          </cell>
        </row>
        <row r="101">
          <cell r="A101" t="str">
            <v>36/2026</v>
          </cell>
          <cell r="B101">
            <v>36</v>
          </cell>
          <cell r="C101" t="str">
            <v>SUBROGACION</v>
          </cell>
          <cell r="D101">
            <v>46052</v>
          </cell>
          <cell r="E101" t="str">
            <v>PEDIATRIA INFANTIL</v>
          </cell>
          <cell r="F101" t="str">
            <v>N/A</v>
          </cell>
          <cell r="G101">
            <v>39921004041</v>
          </cell>
          <cell r="H101" t="str">
            <v>METILFENIDATO 18 MG</v>
          </cell>
          <cell r="I101">
            <v>2</v>
          </cell>
          <cell r="J101" t="str">
            <v>CAJA</v>
          </cell>
          <cell r="K101">
            <v>3992</v>
          </cell>
          <cell r="L101" t="str">
            <v>LORENA ALEJANDRA MENDOZA RODRIGUEZ</v>
          </cell>
          <cell r="M101">
            <v>2010128</v>
          </cell>
          <cell r="N101" t="str">
            <v>RENATA MARIEL MENDOZA RODRIGUEZ</v>
          </cell>
          <cell r="O101">
            <v>17086358</v>
          </cell>
          <cell r="P101" t="str">
            <v>JESUS</v>
          </cell>
          <cell r="Q101">
            <v>46052</v>
          </cell>
          <cell r="R101" t="str">
            <v>RECURSOS FINANCIEROS</v>
          </cell>
          <cell r="T101" t="str">
            <v>599/2026</v>
          </cell>
          <cell r="U101">
            <v>46087</v>
          </cell>
          <cell r="V101">
            <v>1537</v>
          </cell>
          <cell r="W101">
            <v>3074</v>
          </cell>
          <cell r="X101">
            <v>0</v>
          </cell>
          <cell r="Y101">
            <v>3074</v>
          </cell>
          <cell r="Z101">
            <v>14</v>
          </cell>
          <cell r="AA101">
            <v>46090</v>
          </cell>
          <cell r="AB101">
            <v>46100</v>
          </cell>
          <cell r="AC101">
            <v>11</v>
          </cell>
          <cell r="AD101" t="str">
            <v>N/A</v>
          </cell>
          <cell r="AE101" t="str">
            <v>CARTA COMPROMISO</v>
          </cell>
          <cell r="AF101">
            <v>46100</v>
          </cell>
        </row>
        <row r="102">
          <cell r="A102" t="str">
            <v>37/2026</v>
          </cell>
          <cell r="B102">
            <v>37</v>
          </cell>
          <cell r="C102" t="str">
            <v>SUBROGACION</v>
          </cell>
          <cell r="D102">
            <v>46056</v>
          </cell>
          <cell r="E102" t="str">
            <v>ARTROSCOPIA Y MEDICINA INTERNA</v>
          </cell>
          <cell r="F102" t="str">
            <v>N/A</v>
          </cell>
          <cell r="G102">
            <v>3992100001</v>
          </cell>
          <cell r="H102" t="str">
            <v>RENTA DE ARTROSCOPIO</v>
          </cell>
          <cell r="I102">
            <v>1</v>
          </cell>
          <cell r="J102" t="str">
            <v>SERVICIO</v>
          </cell>
          <cell r="K102">
            <v>3992</v>
          </cell>
          <cell r="L102" t="str">
            <v>OSCAR IGNACIO CHAVEZ ROBLES</v>
          </cell>
          <cell r="M102">
            <v>940880</v>
          </cell>
          <cell r="N102" t="str">
            <v>OSCAR IGNACIO CHAVEZ ROBLES</v>
          </cell>
          <cell r="O102">
            <v>6053023</v>
          </cell>
          <cell r="P102" t="str">
            <v>JESUS</v>
          </cell>
          <cell r="Q102">
            <v>46056</v>
          </cell>
          <cell r="R102" t="str">
            <v>RECURSOS FINANCIEROS</v>
          </cell>
          <cell r="T102" t="str">
            <v>523/2026</v>
          </cell>
          <cell r="U102">
            <v>46078</v>
          </cell>
          <cell r="V102">
            <v>3500</v>
          </cell>
          <cell r="W102">
            <v>3500</v>
          </cell>
          <cell r="X102">
            <v>560</v>
          </cell>
          <cell r="Y102">
            <v>4060</v>
          </cell>
          <cell r="Z102">
            <v>6</v>
          </cell>
          <cell r="AA102">
            <v>46080</v>
          </cell>
          <cell r="AB102">
            <v>46084</v>
          </cell>
          <cell r="AC102">
            <v>5</v>
          </cell>
          <cell r="AE102" t="str">
            <v>CARTA COMPROMISO</v>
          </cell>
          <cell r="AF102">
            <v>46084</v>
          </cell>
          <cell r="AG102" t="str">
            <v>ARTRONEWS S.C.</v>
          </cell>
          <cell r="AH102">
            <v>46084</v>
          </cell>
        </row>
        <row r="103">
          <cell r="A103" t="str">
            <v>37/2026</v>
          </cell>
          <cell r="B103">
            <v>37</v>
          </cell>
          <cell r="C103" t="str">
            <v>SUBROGACION</v>
          </cell>
          <cell r="D103">
            <v>46056</v>
          </cell>
          <cell r="E103" t="str">
            <v>ARTROSCOPIA Y MEDICINA INTERNA</v>
          </cell>
          <cell r="F103" t="str">
            <v>N/A</v>
          </cell>
          <cell r="G103">
            <v>3992100001</v>
          </cell>
          <cell r="H103" t="str">
            <v>BOMBA DE IRRIGACION</v>
          </cell>
          <cell r="I103">
            <v>1</v>
          </cell>
          <cell r="J103" t="str">
            <v>SERVICIO</v>
          </cell>
          <cell r="K103">
            <v>3992</v>
          </cell>
          <cell r="L103" t="str">
            <v>OSCAR IGNACIO CHAVEZ ROBLES</v>
          </cell>
          <cell r="M103">
            <v>940880</v>
          </cell>
          <cell r="N103" t="str">
            <v>OSCAR IGNACIO CHAVEZ ROBLES</v>
          </cell>
          <cell r="O103">
            <v>6053023</v>
          </cell>
          <cell r="P103" t="str">
            <v>JESUS</v>
          </cell>
          <cell r="Q103">
            <v>46056</v>
          </cell>
          <cell r="R103" t="str">
            <v>RECURSOS FINANCIEROS</v>
          </cell>
          <cell r="T103" t="str">
            <v>523/2026</v>
          </cell>
          <cell r="U103">
            <v>46078</v>
          </cell>
          <cell r="V103">
            <v>1000</v>
          </cell>
          <cell r="W103">
            <v>1000</v>
          </cell>
          <cell r="X103">
            <v>160</v>
          </cell>
          <cell r="Y103">
            <v>1160</v>
          </cell>
          <cell r="Z103" t="str">
            <v>6</v>
          </cell>
          <cell r="AA103">
            <v>46080</v>
          </cell>
          <cell r="AB103">
            <v>46084</v>
          </cell>
          <cell r="AC103">
            <v>5</v>
          </cell>
          <cell r="AE103" t="str">
            <v>CARTA COMPROMISO</v>
          </cell>
          <cell r="AF103">
            <v>46084</v>
          </cell>
          <cell r="AG103" t="str">
            <v>ARTRONEWS S.C.</v>
          </cell>
          <cell r="AH103">
            <v>46084</v>
          </cell>
        </row>
        <row r="104">
          <cell r="A104" t="str">
            <v>37/2026</v>
          </cell>
          <cell r="B104">
            <v>37</v>
          </cell>
          <cell r="C104" t="str">
            <v>SUBROGACION</v>
          </cell>
          <cell r="D104">
            <v>46056</v>
          </cell>
          <cell r="E104" t="str">
            <v>ARTROSCOPIA Y MEDICINA INTERNA</v>
          </cell>
          <cell r="F104" t="str">
            <v>N/A</v>
          </cell>
          <cell r="G104">
            <v>3992100001</v>
          </cell>
          <cell r="H104" t="str">
            <v>ANCLA PEEK 4.5 CON DOBLE SUTURA</v>
          </cell>
          <cell r="I104">
            <v>3</v>
          </cell>
          <cell r="J104" t="str">
            <v>PIEZA</v>
          </cell>
          <cell r="K104">
            <v>3992</v>
          </cell>
          <cell r="L104" t="str">
            <v>OSCAR IGNACIO CHAVEZ ROBLES</v>
          </cell>
          <cell r="M104">
            <v>940880</v>
          </cell>
          <cell r="N104" t="str">
            <v>OSCAR IGNACIO CHAVEZ ROBLES</v>
          </cell>
          <cell r="O104">
            <v>6053023</v>
          </cell>
          <cell r="P104" t="str">
            <v>JESUS</v>
          </cell>
          <cell r="Q104">
            <v>46056</v>
          </cell>
          <cell r="R104" t="str">
            <v>RECURSOS FINANCIEROS</v>
          </cell>
          <cell r="T104" t="str">
            <v>523/2026</v>
          </cell>
          <cell r="U104">
            <v>46078</v>
          </cell>
          <cell r="V104">
            <v>9000</v>
          </cell>
          <cell r="W104">
            <v>27000</v>
          </cell>
          <cell r="X104">
            <v>4320</v>
          </cell>
          <cell r="Y104">
            <v>31320</v>
          </cell>
          <cell r="Z104" t="str">
            <v>6</v>
          </cell>
          <cell r="AA104">
            <v>46080</v>
          </cell>
          <cell r="AB104">
            <v>46084</v>
          </cell>
          <cell r="AC104">
            <v>5</v>
          </cell>
          <cell r="AE104" t="str">
            <v>CARTA COMPROMISO</v>
          </cell>
          <cell r="AF104">
            <v>46084</v>
          </cell>
          <cell r="AG104" t="str">
            <v>ARTRONEWS S.C.</v>
          </cell>
          <cell r="AH104">
            <v>46084</v>
          </cell>
        </row>
        <row r="105">
          <cell r="A105" t="str">
            <v>38/2026</v>
          </cell>
          <cell r="B105">
            <v>38</v>
          </cell>
          <cell r="C105" t="str">
            <v>REEMBOLSO</v>
          </cell>
          <cell r="D105">
            <v>46056</v>
          </cell>
          <cell r="E105" t="str">
            <v>NEUREOLOGIA</v>
          </cell>
          <cell r="F105" t="str">
            <v>N/A</v>
          </cell>
          <cell r="G105">
            <v>3992100001</v>
          </cell>
          <cell r="H105" t="str">
            <v>RESONANCIA MAGNETICA DE CRANEO SIMPLE</v>
          </cell>
          <cell r="I105">
            <v>1</v>
          </cell>
          <cell r="J105" t="str">
            <v>SERVICIO</v>
          </cell>
          <cell r="K105">
            <v>3992</v>
          </cell>
          <cell r="L105" t="str">
            <v>IRENE GONZALEZ CASTRO</v>
          </cell>
          <cell r="M105">
            <v>2006294</v>
          </cell>
          <cell r="N105" t="str">
            <v>CARLOS GONZALEZ BETANCOURT</v>
          </cell>
          <cell r="O105">
            <v>7038911</v>
          </cell>
          <cell r="P105" t="str">
            <v>JESUS</v>
          </cell>
          <cell r="Q105">
            <v>46056</v>
          </cell>
          <cell r="R105" t="str">
            <v>RECURSOS FINANCIEROS</v>
          </cell>
          <cell r="T105" t="str">
            <v>497/2026</v>
          </cell>
          <cell r="U105">
            <v>46049</v>
          </cell>
          <cell r="V105">
            <v>2155.1724137931037</v>
          </cell>
          <cell r="W105">
            <v>2155.17</v>
          </cell>
          <cell r="X105">
            <v>344.8272</v>
          </cell>
          <cell r="Y105">
            <v>2500</v>
          </cell>
          <cell r="Z105">
            <v>4</v>
          </cell>
          <cell r="AA105">
            <v>46065</v>
          </cell>
          <cell r="AB105">
            <v>46079</v>
          </cell>
          <cell r="AC105">
            <v>4</v>
          </cell>
          <cell r="AG105" t="str">
            <v>IRENE GONZALEZ CASTRO</v>
          </cell>
        </row>
        <row r="106">
          <cell r="A106" t="str">
            <v>39/2026</v>
          </cell>
          <cell r="B106">
            <v>39</v>
          </cell>
          <cell r="C106" t="str">
            <v>REEMBOLSO</v>
          </cell>
          <cell r="D106">
            <v>46056</v>
          </cell>
          <cell r="E106" t="str">
            <v>GERIATRIA</v>
          </cell>
          <cell r="F106" t="str">
            <v>N/A</v>
          </cell>
          <cell r="G106">
            <v>3992100001</v>
          </cell>
          <cell r="H106" t="str">
            <v>RESONANCIA MAGNETCIA DE CRANEO CON SEDACION</v>
          </cell>
          <cell r="I106">
            <v>1</v>
          </cell>
          <cell r="J106" t="str">
            <v>SERVICIO</v>
          </cell>
          <cell r="K106">
            <v>3992</v>
          </cell>
          <cell r="L106" t="str">
            <v>HUMBERTO BAROCIO VAZQUEZ</v>
          </cell>
          <cell r="M106">
            <v>2002270</v>
          </cell>
          <cell r="N106" t="str">
            <v>HUMBERTO BAROCIO VAZQUEZ</v>
          </cell>
          <cell r="O106">
            <v>6050565</v>
          </cell>
          <cell r="P106" t="str">
            <v>JESUS</v>
          </cell>
          <cell r="Q106">
            <v>46056</v>
          </cell>
          <cell r="R106" t="str">
            <v>RECURSOS FINANCIEROS</v>
          </cell>
          <cell r="T106" t="str">
            <v>560/2026</v>
          </cell>
          <cell r="U106">
            <v>46084</v>
          </cell>
          <cell r="Y106">
            <v>4849.99</v>
          </cell>
        </row>
        <row r="107">
          <cell r="A107" t="str">
            <v>40/2026</v>
          </cell>
          <cell r="B107">
            <v>40</v>
          </cell>
          <cell r="C107" t="str">
            <v>REEMBOLSO</v>
          </cell>
          <cell r="D107">
            <v>46057</v>
          </cell>
          <cell r="E107" t="str">
            <v>GERIATRIA</v>
          </cell>
          <cell r="F107" t="str">
            <v>N/A</v>
          </cell>
          <cell r="G107">
            <v>3992100001</v>
          </cell>
          <cell r="H107" t="str">
            <v>ESTUDIO VITAMINA  B-12</v>
          </cell>
          <cell r="I107">
            <v>1</v>
          </cell>
          <cell r="J107" t="str">
            <v>SERVICIO</v>
          </cell>
          <cell r="K107">
            <v>3992</v>
          </cell>
          <cell r="L107" t="str">
            <v>HUMBERTO BAROCIO VAZQUEZ</v>
          </cell>
          <cell r="M107">
            <v>2002270</v>
          </cell>
          <cell r="N107" t="str">
            <v>HUMBERTO BAROCIO VAZQUEZ</v>
          </cell>
          <cell r="O107">
            <v>6050565</v>
          </cell>
          <cell r="P107" t="str">
            <v>JESUS</v>
          </cell>
          <cell r="Q107">
            <v>46057</v>
          </cell>
          <cell r="R107" t="str">
            <v>COTIZACION</v>
          </cell>
        </row>
        <row r="108">
          <cell r="A108" t="str">
            <v>41/2026</v>
          </cell>
          <cell r="B108">
            <v>41</v>
          </cell>
          <cell r="C108" t="str">
            <v>REEMBOLSO</v>
          </cell>
          <cell r="D108">
            <v>46058</v>
          </cell>
          <cell r="E108" t="str">
            <v>ARTROSCOPIA</v>
          </cell>
          <cell r="F108" t="str">
            <v>N/A</v>
          </cell>
          <cell r="G108">
            <v>3992100001</v>
          </cell>
          <cell r="H108" t="str">
            <v>RENTA DE ARTROSCOPIO</v>
          </cell>
          <cell r="I108">
            <v>1</v>
          </cell>
          <cell r="J108" t="str">
            <v>SERVICIO</v>
          </cell>
          <cell r="K108">
            <v>3992</v>
          </cell>
          <cell r="L108" t="str">
            <v>ALBERTO MEDINA LOZANO</v>
          </cell>
          <cell r="M108">
            <v>2005052</v>
          </cell>
          <cell r="N108" t="str">
            <v>ALBERTO MEDINA LOZANO</v>
          </cell>
          <cell r="O108">
            <v>6050280</v>
          </cell>
          <cell r="P108" t="str">
            <v>JESUS</v>
          </cell>
          <cell r="Q108">
            <v>46058</v>
          </cell>
          <cell r="R108" t="str">
            <v>RECURSOS FINANCIEROS</v>
          </cell>
          <cell r="T108" t="str">
            <v>506/2026</v>
          </cell>
          <cell r="U108">
            <v>46052</v>
          </cell>
          <cell r="V108">
            <v>2586.1999999999998</v>
          </cell>
          <cell r="W108">
            <v>2586.1999999999998</v>
          </cell>
          <cell r="X108">
            <v>413.79199999999997</v>
          </cell>
          <cell r="Y108">
            <v>2999.9919999999997</v>
          </cell>
          <cell r="Z108">
            <v>6</v>
          </cell>
          <cell r="AA108">
            <v>46080</v>
          </cell>
          <cell r="AB108">
            <v>46084</v>
          </cell>
          <cell r="AC108">
            <v>5</v>
          </cell>
          <cell r="AD108" t="str">
            <v>N/A</v>
          </cell>
          <cell r="AE108" t="str">
            <v>N/A</v>
          </cell>
          <cell r="AF108" t="str">
            <v>N/A</v>
          </cell>
          <cell r="AG108" t="str">
            <v>ROSH MEDICA, S.A. DE C.V.</v>
          </cell>
          <cell r="AH108" t="str">
            <v>N/A</v>
          </cell>
          <cell r="AI108" t="str">
            <v>N/A</v>
          </cell>
          <cell r="AJ108" t="str">
            <v>M 5843</v>
          </cell>
          <cell r="AK108">
            <v>46052</v>
          </cell>
          <cell r="AL108">
            <v>46090</v>
          </cell>
        </row>
        <row r="109">
          <cell r="A109" t="str">
            <v>41/2026</v>
          </cell>
          <cell r="B109">
            <v>41</v>
          </cell>
          <cell r="C109" t="str">
            <v>REEMBOLSO</v>
          </cell>
          <cell r="D109">
            <v>46058</v>
          </cell>
          <cell r="E109" t="str">
            <v>ARTROSCOPIA</v>
          </cell>
          <cell r="F109" t="str">
            <v>N/A</v>
          </cell>
          <cell r="G109">
            <v>3992100001</v>
          </cell>
          <cell r="H109" t="str">
            <v>RENTA DE BOMBA DE IRRIGACION</v>
          </cell>
          <cell r="I109">
            <v>1</v>
          </cell>
          <cell r="J109" t="str">
            <v>SERVICIO</v>
          </cell>
          <cell r="K109">
            <v>3992</v>
          </cell>
          <cell r="L109" t="str">
            <v>ALBERTO MEDINA LOZANO</v>
          </cell>
          <cell r="M109">
            <v>2005052</v>
          </cell>
          <cell r="N109" t="str">
            <v>ALBERTO MEDINA LOZANO</v>
          </cell>
          <cell r="O109">
            <v>6050280</v>
          </cell>
          <cell r="P109" t="str">
            <v>JESUS</v>
          </cell>
          <cell r="Q109">
            <v>46058</v>
          </cell>
          <cell r="R109" t="str">
            <v>RECURSOS FINANCIEROS</v>
          </cell>
          <cell r="T109" t="str">
            <v>506/2026</v>
          </cell>
          <cell r="U109">
            <v>46052</v>
          </cell>
          <cell r="V109">
            <v>3013.8</v>
          </cell>
          <cell r="W109">
            <v>3013.8</v>
          </cell>
          <cell r="X109">
            <v>482.20800000000003</v>
          </cell>
          <cell r="Y109">
            <v>3496.0080000000003</v>
          </cell>
          <cell r="Z109">
            <v>6</v>
          </cell>
          <cell r="AA109">
            <v>46080</v>
          </cell>
          <cell r="AB109">
            <v>46084</v>
          </cell>
          <cell r="AC109">
            <v>5</v>
          </cell>
          <cell r="AD109" t="str">
            <v>N/A</v>
          </cell>
          <cell r="AE109" t="str">
            <v>N/A</v>
          </cell>
          <cell r="AF109" t="str">
            <v>N/A</v>
          </cell>
          <cell r="AG109" t="str">
            <v>ROSH MEDICA, S.A. DE C.V.</v>
          </cell>
          <cell r="AH109" t="str">
            <v>N/A</v>
          </cell>
          <cell r="AI109" t="str">
            <v>N/A</v>
          </cell>
          <cell r="AJ109" t="str">
            <v>M 5843</v>
          </cell>
          <cell r="AK109">
            <v>46052</v>
          </cell>
          <cell r="AL109">
            <v>46090</v>
          </cell>
        </row>
        <row r="110">
          <cell r="A110" t="str">
            <v>41/2026</v>
          </cell>
          <cell r="B110">
            <v>41</v>
          </cell>
          <cell r="C110" t="str">
            <v>REEMBOLSO</v>
          </cell>
          <cell r="D110">
            <v>46058</v>
          </cell>
          <cell r="E110" t="str">
            <v>ARTROSCOPIA</v>
          </cell>
          <cell r="F110" t="str">
            <v>N/A</v>
          </cell>
          <cell r="G110">
            <v>3992100001</v>
          </cell>
          <cell r="H110" t="str">
            <v>SUTURA MENISCAL</v>
          </cell>
          <cell r="I110">
            <v>2</v>
          </cell>
          <cell r="J110" t="str">
            <v>PIEZA</v>
          </cell>
          <cell r="K110">
            <v>3992</v>
          </cell>
          <cell r="L110" t="str">
            <v>ALBERTO MEDINA LOZANO</v>
          </cell>
          <cell r="M110">
            <v>2005052</v>
          </cell>
          <cell r="N110" t="str">
            <v>ALBERTO MEDINA LOZANO</v>
          </cell>
          <cell r="O110">
            <v>6050280</v>
          </cell>
          <cell r="P110" t="str">
            <v>JESUS</v>
          </cell>
          <cell r="Q110">
            <v>46058</v>
          </cell>
          <cell r="R110" t="str">
            <v>RECURSOS FINANCIEROS</v>
          </cell>
          <cell r="T110" t="str">
            <v>506/2026</v>
          </cell>
          <cell r="U110">
            <v>46052</v>
          </cell>
          <cell r="V110">
            <v>0</v>
          </cell>
          <cell r="W110">
            <v>0</v>
          </cell>
          <cell r="X110">
            <v>0</v>
          </cell>
          <cell r="Y110">
            <v>0</v>
          </cell>
          <cell r="Z110">
            <v>6</v>
          </cell>
          <cell r="AA110">
            <v>46080</v>
          </cell>
          <cell r="AB110">
            <v>46084</v>
          </cell>
          <cell r="AC110">
            <v>5</v>
          </cell>
          <cell r="AD110" t="str">
            <v>N/A</v>
          </cell>
          <cell r="AE110" t="str">
            <v>N/A</v>
          </cell>
          <cell r="AF110" t="str">
            <v>N/A</v>
          </cell>
          <cell r="AG110" t="str">
            <v>ROSH MEDICA, S.A. DE C.V.</v>
          </cell>
          <cell r="AH110" t="str">
            <v>N/A</v>
          </cell>
          <cell r="AI110" t="str">
            <v>N/A</v>
          </cell>
          <cell r="AJ110" t="str">
            <v>M 5843</v>
          </cell>
          <cell r="AK110">
            <v>46052</v>
          </cell>
          <cell r="AL110">
            <v>46090</v>
          </cell>
        </row>
        <row r="111">
          <cell r="A111" t="str">
            <v>42/2026</v>
          </cell>
          <cell r="B111">
            <v>42</v>
          </cell>
          <cell r="C111" t="str">
            <v>SUBROGACION</v>
          </cell>
          <cell r="D111">
            <v>46058</v>
          </cell>
          <cell r="E111" t="str">
            <v>NEUROCIRUGIA</v>
          </cell>
          <cell r="F111" t="str">
            <v>N/A</v>
          </cell>
          <cell r="G111">
            <v>3992100001</v>
          </cell>
          <cell r="H111" t="str">
            <v>CHAROLA DE INSTRUMENTAL PARA CIRUGIA ENDOSCOPICA DE COLUMNA RICHARD WOLF CON CIRCUITO DE IRRIGACION PARA BOMBA</v>
          </cell>
          <cell r="I111">
            <v>1</v>
          </cell>
          <cell r="J111" t="str">
            <v>SERVICIO</v>
          </cell>
          <cell r="K111">
            <v>3992</v>
          </cell>
          <cell r="L111" t="str">
            <v>ENRIQUE SANCHEZ VAZQUEZ</v>
          </cell>
          <cell r="M111">
            <v>2018505</v>
          </cell>
          <cell r="N111" t="str">
            <v>ENRIQUE SANCHEZ VAZQUEZ</v>
          </cell>
          <cell r="O111">
            <v>2002751</v>
          </cell>
          <cell r="P111" t="str">
            <v>JESUS</v>
          </cell>
          <cell r="Q111">
            <v>46058</v>
          </cell>
          <cell r="R111" t="str">
            <v>COTIZACION</v>
          </cell>
          <cell r="S111" t="str">
            <v xml:space="preserve">SE EMPIEZA A COTIZAR A PARTIR DEL 04/03/2026, DEBIDO A QUE SE VÍO CON EL MÉDICO Y COMENTA QUE NO ESTAN DENTRO DE LA LICITACIÓN </v>
          </cell>
        </row>
        <row r="112">
          <cell r="A112" t="str">
            <v>43/2026</v>
          </cell>
          <cell r="B112">
            <v>43</v>
          </cell>
          <cell r="C112" t="str">
            <v>REEMBOLSO</v>
          </cell>
          <cell r="D112">
            <v>46058</v>
          </cell>
          <cell r="E112" t="str">
            <v>CARDIOLOGIA</v>
          </cell>
          <cell r="F112" t="str">
            <v>N/A</v>
          </cell>
          <cell r="G112">
            <v>3992100001</v>
          </cell>
          <cell r="H112" t="str">
            <v>SPECT CON MIBI</v>
          </cell>
          <cell r="I112">
            <v>1</v>
          </cell>
          <cell r="J112" t="str">
            <v>SERVICIO</v>
          </cell>
          <cell r="K112">
            <v>3992</v>
          </cell>
          <cell r="L112" t="str">
            <v>ENRIQUE AVALOS MURGUIA</v>
          </cell>
          <cell r="M112">
            <v>2011140</v>
          </cell>
          <cell r="N112" t="str">
            <v>ENRIQUE AVALOS MURGUIA</v>
          </cell>
          <cell r="O112">
            <v>12047753</v>
          </cell>
          <cell r="P112" t="str">
            <v>JESUS</v>
          </cell>
          <cell r="Q112">
            <v>46058</v>
          </cell>
          <cell r="R112" t="str">
            <v>RECURSOS FINANCIEROS</v>
          </cell>
          <cell r="T112" t="str">
            <v>518/2026</v>
          </cell>
          <cell r="U112">
            <v>46063</v>
          </cell>
          <cell r="V112">
            <v>8620.69</v>
          </cell>
          <cell r="W112">
            <v>8620.69</v>
          </cell>
          <cell r="X112">
            <v>1379.3104000000001</v>
          </cell>
          <cell r="Y112">
            <v>10000.000400000001</v>
          </cell>
          <cell r="Z112" t="str">
            <v>6</v>
          </cell>
          <cell r="AA112">
            <v>46080</v>
          </cell>
          <cell r="AB112">
            <v>46084</v>
          </cell>
          <cell r="AC112">
            <v>5</v>
          </cell>
          <cell r="AD112" t="str">
            <v>N/A</v>
          </cell>
          <cell r="AE112" t="str">
            <v>N/A</v>
          </cell>
          <cell r="AF112" t="str">
            <v>N/A</v>
          </cell>
          <cell r="AG112" t="str">
            <v>UNIDAD DE RADIOLOGIA IRM, S. DE R.L. DE C.V.</v>
          </cell>
          <cell r="AH112" t="str">
            <v>N/A</v>
          </cell>
          <cell r="AI112" t="str">
            <v>N/A</v>
          </cell>
          <cell r="AJ112">
            <v>20086374</v>
          </cell>
          <cell r="AK112">
            <v>46032</v>
          </cell>
        </row>
        <row r="113">
          <cell r="A113" t="str">
            <v>44/2026</v>
          </cell>
          <cell r="B113">
            <v>44</v>
          </cell>
          <cell r="C113" t="str">
            <v>SUBROGACION</v>
          </cell>
          <cell r="D113">
            <v>46058</v>
          </cell>
          <cell r="E113" t="str">
            <v>INGENIERIA BIOMEDICA</v>
          </cell>
          <cell r="F113" t="str">
            <v>N/A</v>
          </cell>
          <cell r="G113">
            <v>3992100001</v>
          </cell>
          <cell r="H113" t="str">
            <v>RENTA DE SISTEMA DE INTERPOLSE</v>
          </cell>
          <cell r="I113">
            <v>1</v>
          </cell>
          <cell r="J113" t="str">
            <v>SERVICIO</v>
          </cell>
          <cell r="K113">
            <v>3992</v>
          </cell>
          <cell r="L113" t="str">
            <v>MARTIN CASTILLO CARMEN ARACELI</v>
          </cell>
          <cell r="M113">
            <v>2007299</v>
          </cell>
          <cell r="N113" t="str">
            <v>MARTIN CASTILLO CARMEN ARACELI</v>
          </cell>
          <cell r="O113">
            <v>8053346</v>
          </cell>
          <cell r="P113" t="str">
            <v>JESUS</v>
          </cell>
          <cell r="Q113">
            <v>46058</v>
          </cell>
          <cell r="R113" t="str">
            <v>RECURSOS FINANCIEROS</v>
          </cell>
        </row>
        <row r="114">
          <cell r="A114" t="str">
            <v>44/2026</v>
          </cell>
          <cell r="B114">
            <v>44</v>
          </cell>
          <cell r="C114" t="str">
            <v>SUBROGACION</v>
          </cell>
          <cell r="D114">
            <v>46058</v>
          </cell>
          <cell r="E114" t="str">
            <v>INGENIERIA BIOMEDICA</v>
          </cell>
          <cell r="F114" t="str">
            <v>N/A</v>
          </cell>
          <cell r="G114">
            <v>3992100001</v>
          </cell>
          <cell r="H114" t="str">
            <v>RENTA DE COMPONENTE PATELAR</v>
          </cell>
          <cell r="I114">
            <v>1</v>
          </cell>
          <cell r="J114" t="str">
            <v>SERVICIO</v>
          </cell>
          <cell r="K114">
            <v>3992</v>
          </cell>
          <cell r="L114" t="str">
            <v>MARTIN CASTILLO CARMEN ARACELI</v>
          </cell>
          <cell r="M114">
            <v>2007299</v>
          </cell>
          <cell r="N114" t="str">
            <v>MARTIN CASTILLO CARMEN ARACELI</v>
          </cell>
          <cell r="O114">
            <v>8053346</v>
          </cell>
          <cell r="P114" t="str">
            <v>JESUS</v>
          </cell>
          <cell r="Q114">
            <v>46058</v>
          </cell>
          <cell r="R114" t="str">
            <v>RECURSOS FINANCIEROS</v>
          </cell>
        </row>
        <row r="115">
          <cell r="A115" t="str">
            <v>45/2026</v>
          </cell>
          <cell r="B115">
            <v>45</v>
          </cell>
          <cell r="C115" t="str">
            <v>REEMBOLSO</v>
          </cell>
          <cell r="D115">
            <v>46059</v>
          </cell>
          <cell r="E115" t="str">
            <v>OFTALMOLOGIA</v>
          </cell>
          <cell r="F115" t="str">
            <v>N/A</v>
          </cell>
          <cell r="G115">
            <v>3992100001</v>
          </cell>
          <cell r="H115" t="str">
            <v>VALVULA DE AHMED / SEDA 7-0</v>
          </cell>
          <cell r="I115">
            <v>1</v>
          </cell>
          <cell r="J115" t="str">
            <v>PIEZA</v>
          </cell>
          <cell r="K115">
            <v>3992</v>
          </cell>
          <cell r="L115" t="str">
            <v>MAURA SILVIA LOZANO MARQUEZ</v>
          </cell>
          <cell r="M115">
            <v>2006144</v>
          </cell>
          <cell r="N115" t="str">
            <v>SILVA MARQUEZ ROMERO</v>
          </cell>
          <cell r="O115">
            <v>7051574</v>
          </cell>
          <cell r="P115" t="str">
            <v>JESUS</v>
          </cell>
          <cell r="Q115">
            <v>46059</v>
          </cell>
          <cell r="R115" t="str">
            <v>RECURSOS FINANCIEROS</v>
          </cell>
          <cell r="T115" t="str">
            <v>510/2026</v>
          </cell>
          <cell r="U115">
            <v>46058</v>
          </cell>
          <cell r="V115">
            <v>16200</v>
          </cell>
          <cell r="W115">
            <v>16200</v>
          </cell>
          <cell r="X115">
            <v>2592</v>
          </cell>
          <cell r="Y115">
            <v>18792</v>
          </cell>
          <cell r="Z115">
            <v>6</v>
          </cell>
          <cell r="AA115">
            <v>46049</v>
          </cell>
          <cell r="AB115">
            <v>46084</v>
          </cell>
          <cell r="AC115">
            <v>5</v>
          </cell>
          <cell r="AD115" t="str">
            <v>N/A</v>
          </cell>
          <cell r="AE115" t="str">
            <v>N/A</v>
          </cell>
          <cell r="AF115" t="str">
            <v>N/A</v>
          </cell>
          <cell r="AG115" t="str">
            <v>RAMIREZ LOPEZ LUIS RAMON</v>
          </cell>
          <cell r="AH115" t="str">
            <v>N/A</v>
          </cell>
          <cell r="AI115" t="str">
            <v>N/A</v>
          </cell>
          <cell r="AJ115">
            <v>1011</v>
          </cell>
          <cell r="AK115">
            <v>46058</v>
          </cell>
          <cell r="AL115">
            <v>46090</v>
          </cell>
        </row>
        <row r="116">
          <cell r="A116" t="str">
            <v>46/2026</v>
          </cell>
          <cell r="B116">
            <v>46</v>
          </cell>
          <cell r="C116" t="str">
            <v>COMPRA POR FONDO</v>
          </cell>
          <cell r="D116">
            <v>46059</v>
          </cell>
          <cell r="E116" t="str">
            <v>INGENIERIA BIOMEDICA</v>
          </cell>
          <cell r="F116" t="str">
            <v>FDIB/23/2026</v>
          </cell>
          <cell r="G116">
            <v>2461006093</v>
          </cell>
          <cell r="H116" t="str">
            <v>BATERIA DE ION LITIO 12V DE 500 A 625 AMP L-42R-500</v>
          </cell>
          <cell r="I116">
            <v>2</v>
          </cell>
          <cell r="J116" t="str">
            <v>PZA</v>
          </cell>
          <cell r="K116">
            <v>2461</v>
          </cell>
          <cell r="L116" t="str">
            <v>N/A</v>
          </cell>
          <cell r="M116" t="str">
            <v>N/A</v>
          </cell>
          <cell r="N116" t="str">
            <v>N/A</v>
          </cell>
          <cell r="O116" t="str">
            <v>N/A</v>
          </cell>
          <cell r="P116" t="str">
            <v>BRENDA</v>
          </cell>
          <cell r="Q116">
            <v>46059</v>
          </cell>
          <cell r="R116" t="str">
            <v>RECURSOS FINANCIEROS</v>
          </cell>
          <cell r="S116" t="str">
            <v>SE ENTREGAN SUPRES EL 27/02/2026</v>
          </cell>
          <cell r="T116" t="str">
            <v>516/2026</v>
          </cell>
          <cell r="U116">
            <v>46076</v>
          </cell>
          <cell r="V116">
            <v>3571.42</v>
          </cell>
          <cell r="W116">
            <v>7142.84</v>
          </cell>
          <cell r="X116">
            <v>1142.8499999999999</v>
          </cell>
          <cell r="Y116">
            <v>8285.69</v>
          </cell>
          <cell r="Z116">
            <v>5</v>
          </cell>
          <cell r="AA116">
            <v>46070</v>
          </cell>
          <cell r="AB116">
            <v>46084</v>
          </cell>
          <cell r="AC116">
            <v>5</v>
          </cell>
          <cell r="AD116">
            <v>2</v>
          </cell>
          <cell r="AE116">
            <v>84</v>
          </cell>
          <cell r="AF116">
            <v>46076</v>
          </cell>
          <cell r="AG116" t="str">
            <v>BERNARDO HERNANDEZ CLAUDIA MONTSERRATH</v>
          </cell>
          <cell r="AH116" t="str">
            <v>ENTREGADO</v>
          </cell>
          <cell r="AI116">
            <v>46083</v>
          </cell>
          <cell r="AJ116">
            <v>1048</v>
          </cell>
          <cell r="AL116">
            <v>46090</v>
          </cell>
        </row>
        <row r="117">
          <cell r="A117" t="str">
            <v>47/2026</v>
          </cell>
          <cell r="B117">
            <v>47</v>
          </cell>
          <cell r="C117" t="str">
            <v>COMPRA POR FONDO</v>
          </cell>
          <cell r="D117">
            <v>46058</v>
          </cell>
          <cell r="E117" t="str">
            <v>TRANSPORTES</v>
          </cell>
          <cell r="F117" t="str">
            <v>FTRANSP/11/2026</v>
          </cell>
          <cell r="G117">
            <v>3551007029</v>
          </cell>
          <cell r="H117" t="str">
            <v>DIAGNOSTICO Y MANTENIMIENTO  CORRECTIVO A SISTEMA DIESEL, DESCONTAMINACION DE SISTEMA DE EMISIONES DE COMBUSTION Y CAMBIO DE FILTRO DE PARTICULAS DPF, PARA VEHICULOS CON MOTOR A DIESEL.</v>
          </cell>
          <cell r="I117">
            <v>1</v>
          </cell>
          <cell r="J117" t="str">
            <v>SERVICIO</v>
          </cell>
          <cell r="K117">
            <v>3551</v>
          </cell>
          <cell r="L117" t="str">
            <v>N/A</v>
          </cell>
          <cell r="M117" t="str">
            <v>N/A</v>
          </cell>
          <cell r="N117" t="str">
            <v>N/A</v>
          </cell>
          <cell r="O117" t="str">
            <v>N/A</v>
          </cell>
          <cell r="P117" t="str">
            <v>BRENDA</v>
          </cell>
          <cell r="Q117">
            <v>46059</v>
          </cell>
          <cell r="R117" t="str">
            <v>COTIZACION</v>
          </cell>
          <cell r="S117" t="str">
            <v xml:space="preserve">SE MANDA CORREO SOLICITANDO VALIDACION DESDE EL DIA 09DE FEBRERO, MISMA QUE SE RECIBE EL 17 DE MARZO </v>
          </cell>
        </row>
        <row r="118">
          <cell r="A118" t="str">
            <v>48/2026</v>
          </cell>
          <cell r="B118">
            <v>48</v>
          </cell>
          <cell r="C118" t="str">
            <v>REEMBOLSO</v>
          </cell>
          <cell r="D118">
            <v>46059</v>
          </cell>
          <cell r="E118" t="str">
            <v>MEDICO DE EMPLEADOS</v>
          </cell>
          <cell r="F118" t="str">
            <v>N/A</v>
          </cell>
          <cell r="G118">
            <v>3992100001</v>
          </cell>
          <cell r="H118" t="str">
            <v>RESONANCIA MAGNETICA DE RODILLA DERECHA</v>
          </cell>
          <cell r="I118">
            <v>1</v>
          </cell>
          <cell r="J118" t="str">
            <v>SERVICIO</v>
          </cell>
          <cell r="K118">
            <v>3992</v>
          </cell>
          <cell r="L118" t="str">
            <v>MARIA MANUELA OLIVARES MORALES</v>
          </cell>
          <cell r="M118">
            <v>981709</v>
          </cell>
          <cell r="N118" t="str">
            <v>MARIA MANUELA OLIVARES MORALES</v>
          </cell>
          <cell r="O118">
            <v>6054549</v>
          </cell>
          <cell r="P118" t="str">
            <v>JESUS</v>
          </cell>
          <cell r="Q118">
            <v>46059</v>
          </cell>
          <cell r="R118" t="str">
            <v>RECURSOS FINANCIEROS</v>
          </cell>
          <cell r="T118" t="str">
            <v>514/2026</v>
          </cell>
          <cell r="U118">
            <v>46058</v>
          </cell>
          <cell r="V118">
            <v>2672.41</v>
          </cell>
          <cell r="W118">
            <v>2672.41</v>
          </cell>
          <cell r="X118">
            <v>427.5856</v>
          </cell>
          <cell r="Y118">
            <v>3099.9955999999997</v>
          </cell>
          <cell r="Z118">
            <v>6</v>
          </cell>
          <cell r="AA118">
            <v>46080</v>
          </cell>
          <cell r="AB118">
            <v>46084</v>
          </cell>
          <cell r="AC118">
            <v>5</v>
          </cell>
          <cell r="AD118" t="str">
            <v>N/A</v>
          </cell>
          <cell r="AE118" t="str">
            <v>N/A</v>
          </cell>
          <cell r="AF118" t="str">
            <v>N/A</v>
          </cell>
          <cell r="AG118" t="str">
            <v>C&amp;T DIAGNOSTICO, S. DE R.L. DE C.V.</v>
          </cell>
          <cell r="AH118" t="str">
            <v>N/A</v>
          </cell>
          <cell r="AI118" t="str">
            <v>N/A</v>
          </cell>
          <cell r="AJ118">
            <v>70006266</v>
          </cell>
          <cell r="AK118">
            <v>46058</v>
          </cell>
          <cell r="AL118">
            <v>46090</v>
          </cell>
        </row>
        <row r="119">
          <cell r="A119" t="str">
            <v>50/2026</v>
          </cell>
          <cell r="B119">
            <v>50</v>
          </cell>
          <cell r="C119" t="str">
            <v>SUBROGACION</v>
          </cell>
          <cell r="D119">
            <v>46063</v>
          </cell>
          <cell r="E119" t="str">
            <v>ORTOPEDIA Y TRAUMA</v>
          </cell>
          <cell r="F119" t="str">
            <v>N/A</v>
          </cell>
          <cell r="G119">
            <v>3992100001</v>
          </cell>
          <cell r="H119" t="str">
            <v>SET UNIVERSAL DE EXTRACCION</v>
          </cell>
          <cell r="I119">
            <v>1</v>
          </cell>
          <cell r="J119" t="str">
            <v>SERVICIO</v>
          </cell>
          <cell r="K119">
            <v>3992</v>
          </cell>
          <cell r="L119" t="str">
            <v>MARIA EVANGELINA LARA ROBLES</v>
          </cell>
          <cell r="M119">
            <v>981216</v>
          </cell>
          <cell r="N119" t="str">
            <v>MARIA EVANGELINA LARA ROBLES</v>
          </cell>
          <cell r="O119">
            <v>981216</v>
          </cell>
          <cell r="P119" t="str">
            <v>JESUS</v>
          </cell>
          <cell r="Q119">
            <v>46063</v>
          </cell>
          <cell r="R119" t="str">
            <v>COTIZACION</v>
          </cell>
          <cell r="T119" t="str">
            <v>642/2026</v>
          </cell>
          <cell r="U119">
            <v>46092</v>
          </cell>
          <cell r="V119">
            <v>3800</v>
          </cell>
          <cell r="W119">
            <v>3800.0000000000005</v>
          </cell>
          <cell r="X119">
            <v>608.00000000000011</v>
          </cell>
          <cell r="Y119">
            <v>4408</v>
          </cell>
          <cell r="AB119">
            <v>46100</v>
          </cell>
          <cell r="AC119">
            <v>12</v>
          </cell>
          <cell r="AG119" t="str">
            <v>MARIA EVANGELINA LARA ROBLES</v>
          </cell>
        </row>
        <row r="120">
          <cell r="A120" t="str">
            <v>51/2026</v>
          </cell>
          <cell r="B120">
            <v>51</v>
          </cell>
          <cell r="C120" t="str">
            <v>REEMBOLSO</v>
          </cell>
          <cell r="D120">
            <v>46063</v>
          </cell>
          <cell r="E120" t="str">
            <v>ORTOPEDIA Y TRAUMA</v>
          </cell>
          <cell r="F120" t="str">
            <v>N/A</v>
          </cell>
          <cell r="G120">
            <v>3992100001</v>
          </cell>
          <cell r="H120" t="str">
            <v>ANCLA 1.7 MM TODO SUTURA</v>
          </cell>
          <cell r="I120">
            <v>1</v>
          </cell>
          <cell r="J120" t="str">
            <v>PIEZA</v>
          </cell>
          <cell r="K120">
            <v>3992</v>
          </cell>
          <cell r="L120" t="str">
            <v>SERGIO ALEJANDRO RODRIGUEZ ESPINOZA</v>
          </cell>
          <cell r="M120">
            <v>2015206</v>
          </cell>
          <cell r="N120" t="str">
            <v>SERGIO ALEJANDRO RODRIGUEZ ESPINOZA</v>
          </cell>
          <cell r="O120">
            <v>18104466</v>
          </cell>
          <cell r="P120" t="str">
            <v>JESUS</v>
          </cell>
          <cell r="Q120">
            <v>46063</v>
          </cell>
          <cell r="R120" t="str">
            <v>COTIZACION</v>
          </cell>
          <cell r="T120" t="str">
            <v>637/2026</v>
          </cell>
          <cell r="U120">
            <v>46092</v>
          </cell>
          <cell r="V120">
            <v>3854.43</v>
          </cell>
          <cell r="W120">
            <v>3854.43</v>
          </cell>
          <cell r="X120">
            <v>616.7088</v>
          </cell>
          <cell r="Y120">
            <v>4471.1387999999997</v>
          </cell>
          <cell r="AB120">
            <v>46100</v>
          </cell>
          <cell r="AC120">
            <v>12</v>
          </cell>
          <cell r="AG120" t="str">
            <v>SERGIO ALEJANDRO RODRIGUEZ ESPINOZA</v>
          </cell>
        </row>
        <row r="121">
          <cell r="A121" t="str">
            <v>51/2026</v>
          </cell>
          <cell r="B121">
            <v>51</v>
          </cell>
          <cell r="C121" t="str">
            <v>REEMBOLSO</v>
          </cell>
          <cell r="D121">
            <v>46063</v>
          </cell>
          <cell r="E121" t="str">
            <v>ORTOPEDIA Y TRAUMA</v>
          </cell>
          <cell r="F121" t="str">
            <v>N/A</v>
          </cell>
          <cell r="G121">
            <v>3992100001</v>
          </cell>
          <cell r="H121" t="str">
            <v>RENTA DE ARTROSCOPIO</v>
          </cell>
          <cell r="I121">
            <v>1</v>
          </cell>
          <cell r="J121" t="str">
            <v>SERVICIO</v>
          </cell>
          <cell r="K121">
            <v>3992</v>
          </cell>
          <cell r="L121" t="str">
            <v>SERGIO ALEJANDRO RODRIGUEZ ESPINOZA</v>
          </cell>
          <cell r="M121">
            <v>2015206</v>
          </cell>
          <cell r="N121" t="str">
            <v>SERGIO ALEJANDRO RODRIGUEZ ESPINOZA</v>
          </cell>
          <cell r="O121">
            <v>18104466</v>
          </cell>
          <cell r="P121" t="str">
            <v>JESUS</v>
          </cell>
          <cell r="Q121">
            <v>46063</v>
          </cell>
          <cell r="R121" t="str">
            <v>COTIZACION</v>
          </cell>
          <cell r="T121" t="str">
            <v>637/2026</v>
          </cell>
          <cell r="U121">
            <v>46092</v>
          </cell>
          <cell r="AB121">
            <v>46100</v>
          </cell>
          <cell r="AC121">
            <v>12</v>
          </cell>
          <cell r="AG121" t="str">
            <v>SERGIO ALEJANDRO RODRIGUEZ ESPINOZA</v>
          </cell>
        </row>
        <row r="122">
          <cell r="A122" t="str">
            <v>52/2026</v>
          </cell>
          <cell r="B122">
            <v>52</v>
          </cell>
          <cell r="C122" t="str">
            <v>SUBROGACION</v>
          </cell>
          <cell r="D122">
            <v>46063</v>
          </cell>
          <cell r="E122" t="str">
            <v>CIRUGIA PEDIATRICA</v>
          </cell>
          <cell r="F122" t="str">
            <v>N/A</v>
          </cell>
          <cell r="G122">
            <v>3992100001</v>
          </cell>
          <cell r="H122" t="str">
            <v>CATETER PUERTO 6 FR MEDIANO PERFIL</v>
          </cell>
          <cell r="I122">
            <v>1</v>
          </cell>
          <cell r="J122" t="str">
            <v>PIEZA</v>
          </cell>
          <cell r="K122">
            <v>3992</v>
          </cell>
          <cell r="L122" t="str">
            <v>FRANCISCO JAVIER NAVARRETE ROSALES</v>
          </cell>
          <cell r="M122">
            <v>981351</v>
          </cell>
          <cell r="N122" t="str">
            <v>NAVARRETE TORRES MARIANA</v>
          </cell>
          <cell r="O122">
            <v>11136165</v>
          </cell>
          <cell r="P122" t="str">
            <v>JESUS</v>
          </cell>
          <cell r="Q122" t="str">
            <v>10/02/206</v>
          </cell>
          <cell r="R122" t="str">
            <v>COTIZACION</v>
          </cell>
        </row>
        <row r="123">
          <cell r="A123" t="str">
            <v>53/2026</v>
          </cell>
          <cell r="B123">
            <v>53</v>
          </cell>
          <cell r="C123" t="str">
            <v>REEMBOLSO</v>
          </cell>
          <cell r="D123">
            <v>46064</v>
          </cell>
          <cell r="E123" t="str">
            <v>ORTOPEDIA Y TRAUMA</v>
          </cell>
          <cell r="F123" t="str">
            <v>N/A</v>
          </cell>
          <cell r="G123">
            <v>3992100001</v>
          </cell>
          <cell r="H123" t="str">
            <v>SUTURA ALTA RESISTENCIA</v>
          </cell>
          <cell r="I123">
            <v>1</v>
          </cell>
          <cell r="J123" t="str">
            <v>PIEZA</v>
          </cell>
          <cell r="K123">
            <v>3992</v>
          </cell>
          <cell r="L123" t="str">
            <v>HECTOR TORRES RUIZ</v>
          </cell>
          <cell r="M123">
            <v>6051840</v>
          </cell>
          <cell r="N123" t="str">
            <v>HECTOR TORRES RUIZ</v>
          </cell>
          <cell r="O123">
            <v>2005051</v>
          </cell>
          <cell r="P123" t="str">
            <v>JESUS</v>
          </cell>
          <cell r="Q123">
            <v>46063</v>
          </cell>
          <cell r="R123" t="str">
            <v>RECURSOS FINANCIEROS</v>
          </cell>
          <cell r="T123" t="str">
            <v>515/2026</v>
          </cell>
          <cell r="U123">
            <v>46073</v>
          </cell>
          <cell r="V123">
            <v>0</v>
          </cell>
          <cell r="W123">
            <v>0</v>
          </cell>
          <cell r="X123">
            <v>0</v>
          </cell>
          <cell r="Y123">
            <v>0</v>
          </cell>
          <cell r="Z123" t="str">
            <v>6</v>
          </cell>
          <cell r="AA123">
            <v>46080</v>
          </cell>
          <cell r="AB123">
            <v>46084</v>
          </cell>
          <cell r="AC123">
            <v>5</v>
          </cell>
          <cell r="AD123" t="str">
            <v>N/A</v>
          </cell>
          <cell r="AE123" t="str">
            <v>N/A</v>
          </cell>
          <cell r="AF123" t="str">
            <v>N/A</v>
          </cell>
          <cell r="AG123" t="str">
            <v>KARINA DE JESUS LOPEZ RIVAS</v>
          </cell>
          <cell r="AH123" t="str">
            <v>N/A</v>
          </cell>
          <cell r="AI123" t="str">
            <v>N/A</v>
          </cell>
          <cell r="AJ123">
            <v>455</v>
          </cell>
          <cell r="AK123">
            <v>46073</v>
          </cell>
          <cell r="AL123">
            <v>46090</v>
          </cell>
        </row>
        <row r="124">
          <cell r="A124" t="str">
            <v>53/2026</v>
          </cell>
          <cell r="B124">
            <v>53</v>
          </cell>
          <cell r="C124" t="str">
            <v>REEMBOLSO</v>
          </cell>
          <cell r="D124">
            <v>46064</v>
          </cell>
          <cell r="E124" t="str">
            <v>ORTOPEDIA Y TRAUMA</v>
          </cell>
          <cell r="F124" t="str">
            <v>N/A</v>
          </cell>
          <cell r="G124">
            <v>3992100001</v>
          </cell>
          <cell r="H124" t="str">
            <v>PLACA LCP ANATOMICA OLECRANON IZQUIERDA 3.5 MM</v>
          </cell>
          <cell r="I124">
            <v>1</v>
          </cell>
          <cell r="J124" t="str">
            <v>PIEZA</v>
          </cell>
          <cell r="K124">
            <v>3992</v>
          </cell>
          <cell r="L124" t="str">
            <v>HECTOR TORRES RUIZ</v>
          </cell>
          <cell r="M124">
            <v>6051840</v>
          </cell>
          <cell r="N124" t="str">
            <v>HECTOR TORRES RUIZ</v>
          </cell>
          <cell r="O124">
            <v>2005051</v>
          </cell>
          <cell r="P124" t="str">
            <v>JESUS</v>
          </cell>
          <cell r="Q124">
            <v>46063</v>
          </cell>
          <cell r="R124" t="str">
            <v>RECURSOS FINANCIEROS</v>
          </cell>
          <cell r="T124" t="str">
            <v>515/2026</v>
          </cell>
          <cell r="U124">
            <v>46073</v>
          </cell>
          <cell r="V124">
            <v>13000</v>
          </cell>
          <cell r="W124">
            <v>13000</v>
          </cell>
          <cell r="X124">
            <v>2080</v>
          </cell>
          <cell r="Y124">
            <v>15080</v>
          </cell>
          <cell r="Z124" t="str">
            <v>6</v>
          </cell>
          <cell r="AA124">
            <v>46080</v>
          </cell>
          <cell r="AB124">
            <v>46084</v>
          </cell>
          <cell r="AC124">
            <v>5</v>
          </cell>
          <cell r="AD124" t="str">
            <v>N/A</v>
          </cell>
          <cell r="AE124" t="str">
            <v>N/A</v>
          </cell>
          <cell r="AF124" t="str">
            <v>N/A</v>
          </cell>
          <cell r="AG124" t="str">
            <v>KARINA DE JESUS LOPEZ RIVAS</v>
          </cell>
          <cell r="AH124" t="str">
            <v>N/A</v>
          </cell>
          <cell r="AI124" t="str">
            <v>N/A</v>
          </cell>
          <cell r="AJ124">
            <v>455</v>
          </cell>
          <cell r="AK124">
            <v>46073</v>
          </cell>
          <cell r="AL124">
            <v>46090</v>
          </cell>
        </row>
        <row r="125">
          <cell r="A125" t="str">
            <v>53/2026</v>
          </cell>
          <cell r="B125">
            <v>53</v>
          </cell>
          <cell r="C125" t="str">
            <v>REEMBOLSO</v>
          </cell>
          <cell r="D125">
            <v>46064</v>
          </cell>
          <cell r="E125" t="str">
            <v>ORTOPEDIA Y TRAUMA</v>
          </cell>
          <cell r="F125" t="str">
            <v>N/A</v>
          </cell>
          <cell r="G125">
            <v>3992100001</v>
          </cell>
          <cell r="H125" t="str">
            <v>SET DE COLOCACION</v>
          </cell>
          <cell r="I125">
            <v>1</v>
          </cell>
          <cell r="J125" t="str">
            <v>SERVICIO</v>
          </cell>
          <cell r="K125">
            <v>3992</v>
          </cell>
          <cell r="L125" t="str">
            <v>HECTOR TORRES RUIZ</v>
          </cell>
          <cell r="M125">
            <v>6051840</v>
          </cell>
          <cell r="N125" t="str">
            <v>HECTOR TORRES RUIZ</v>
          </cell>
          <cell r="O125">
            <v>2005051</v>
          </cell>
          <cell r="P125" t="str">
            <v>JESUS</v>
          </cell>
          <cell r="Q125">
            <v>46063</v>
          </cell>
          <cell r="R125" t="str">
            <v>RECURSOS FINANCIEROS</v>
          </cell>
          <cell r="T125" t="str">
            <v>515/2026</v>
          </cell>
          <cell r="U125">
            <v>46073</v>
          </cell>
          <cell r="V125">
            <v>0</v>
          </cell>
          <cell r="W125">
            <v>0</v>
          </cell>
          <cell r="X125">
            <v>0</v>
          </cell>
          <cell r="Y125">
            <v>0</v>
          </cell>
          <cell r="Z125" t="str">
            <v>6</v>
          </cell>
          <cell r="AA125">
            <v>46080</v>
          </cell>
          <cell r="AB125">
            <v>46084</v>
          </cell>
          <cell r="AC125">
            <v>5</v>
          </cell>
          <cell r="AD125" t="str">
            <v>N/A</v>
          </cell>
          <cell r="AE125" t="str">
            <v>N/A</v>
          </cell>
          <cell r="AF125" t="str">
            <v>N/A</v>
          </cell>
          <cell r="AG125" t="str">
            <v>KARINA DE JESUS LOPEZ RIVAS</v>
          </cell>
          <cell r="AH125" t="str">
            <v>N/A</v>
          </cell>
          <cell r="AI125" t="str">
            <v>N/A</v>
          </cell>
          <cell r="AJ125">
            <v>455</v>
          </cell>
          <cell r="AK125">
            <v>46073</v>
          </cell>
          <cell r="AL125">
            <v>46090</v>
          </cell>
        </row>
        <row r="126">
          <cell r="A126" t="str">
            <v>53/2026</v>
          </cell>
          <cell r="B126">
            <v>53</v>
          </cell>
          <cell r="C126" t="str">
            <v>REEMBOLSO</v>
          </cell>
          <cell r="D126">
            <v>46064</v>
          </cell>
          <cell r="E126" t="str">
            <v>ORTOPEDIA Y TRAUMA</v>
          </cell>
          <cell r="F126" t="str">
            <v>N/A</v>
          </cell>
          <cell r="G126">
            <v>3992100001</v>
          </cell>
          <cell r="H126" t="str">
            <v>PERFORADOR ESTERIL</v>
          </cell>
          <cell r="I126">
            <v>1</v>
          </cell>
          <cell r="J126" t="str">
            <v>SERVICIO</v>
          </cell>
          <cell r="K126">
            <v>3992</v>
          </cell>
          <cell r="L126" t="str">
            <v>HECTOR TORRES RUIZ</v>
          </cell>
          <cell r="M126">
            <v>6051840</v>
          </cell>
          <cell r="N126" t="str">
            <v>HECTOR TORRES RUIZ</v>
          </cell>
          <cell r="O126">
            <v>2005051</v>
          </cell>
          <cell r="P126" t="str">
            <v>JESUS</v>
          </cell>
          <cell r="Q126">
            <v>46063</v>
          </cell>
          <cell r="R126" t="str">
            <v>RECURSOS FINANCIEROS</v>
          </cell>
          <cell r="T126" t="str">
            <v>515/2026</v>
          </cell>
          <cell r="U126">
            <v>46073</v>
          </cell>
          <cell r="V126">
            <v>0</v>
          </cell>
          <cell r="W126">
            <v>0</v>
          </cell>
          <cell r="X126">
            <v>0</v>
          </cell>
          <cell r="Y126">
            <v>0</v>
          </cell>
          <cell r="Z126" t="str">
            <v>6</v>
          </cell>
          <cell r="AA126">
            <v>46080</v>
          </cell>
          <cell r="AB126">
            <v>46084</v>
          </cell>
          <cell r="AC126">
            <v>5</v>
          </cell>
          <cell r="AD126" t="str">
            <v>N/A</v>
          </cell>
          <cell r="AE126" t="str">
            <v>N/A</v>
          </cell>
          <cell r="AF126" t="str">
            <v>N/A</v>
          </cell>
          <cell r="AG126" t="str">
            <v>KARINA DE JESUS LOPEZ RIVAS</v>
          </cell>
          <cell r="AH126" t="str">
            <v>N/A</v>
          </cell>
          <cell r="AI126" t="str">
            <v>N/A</v>
          </cell>
          <cell r="AJ126">
            <v>455</v>
          </cell>
          <cell r="AK126">
            <v>46073</v>
          </cell>
          <cell r="AL126">
            <v>46090</v>
          </cell>
        </row>
        <row r="127">
          <cell r="A127" t="str">
            <v>54/2026</v>
          </cell>
          <cell r="B127">
            <v>54</v>
          </cell>
          <cell r="C127" t="str">
            <v>COMPRA POR FONDO</v>
          </cell>
          <cell r="D127">
            <v>46064</v>
          </cell>
          <cell r="E127" t="str">
            <v>COORDINACION ADMINISTRATIVA</v>
          </cell>
          <cell r="F127" t="str">
            <v>AHCGSA/183/2026</v>
          </cell>
          <cell r="G127">
            <v>2111003138</v>
          </cell>
          <cell r="H127" t="str">
            <v>SELLO GOMA CON FECHADOR Y LEYENDA DE RECIBO Y NOM DE SERV</v>
          </cell>
          <cell r="I127">
            <v>1</v>
          </cell>
          <cell r="J127" t="str">
            <v>PIEZA</v>
          </cell>
          <cell r="K127">
            <v>2111</v>
          </cell>
          <cell r="L127" t="str">
            <v>N/A</v>
          </cell>
          <cell r="M127" t="str">
            <v>N/A</v>
          </cell>
          <cell r="N127" t="str">
            <v>N/A</v>
          </cell>
          <cell r="O127" t="str">
            <v>N/A</v>
          </cell>
          <cell r="P127" t="str">
            <v>BRENDA</v>
          </cell>
          <cell r="Q127">
            <v>46064</v>
          </cell>
          <cell r="R127" t="str">
            <v>COTIZACION</v>
          </cell>
        </row>
        <row r="128">
          <cell r="A128" t="str">
            <v>55/2026</v>
          </cell>
          <cell r="B128">
            <v>55</v>
          </cell>
          <cell r="C128" t="str">
            <v>COMPRA POR FONDO</v>
          </cell>
          <cell r="D128">
            <v>46064</v>
          </cell>
          <cell r="E128" t="str">
            <v>MEDICINA FISICA Y REHABILITACION</v>
          </cell>
          <cell r="F128" t="str">
            <v>AHCGSA/184/2026</v>
          </cell>
          <cell r="G128">
            <v>2111003138</v>
          </cell>
          <cell r="H128" t="str">
            <v>ACUASONIC PARA ECOSONOGRAMA GALON</v>
          </cell>
          <cell r="I128">
            <v>4</v>
          </cell>
          <cell r="J128" t="str">
            <v>GALON</v>
          </cell>
          <cell r="K128">
            <v>2111</v>
          </cell>
          <cell r="L128" t="str">
            <v>N/A</v>
          </cell>
          <cell r="M128" t="str">
            <v>N/A</v>
          </cell>
          <cell r="N128" t="str">
            <v>N/A</v>
          </cell>
          <cell r="O128" t="str">
            <v>N/A</v>
          </cell>
          <cell r="P128" t="str">
            <v>JESUS</v>
          </cell>
          <cell r="Q128">
            <v>46064</v>
          </cell>
          <cell r="R128" t="str">
            <v>COTIZACION</v>
          </cell>
        </row>
        <row r="129">
          <cell r="A129" t="str">
            <v>56/2026</v>
          </cell>
          <cell r="B129">
            <v>56</v>
          </cell>
          <cell r="C129" t="str">
            <v>SUBROGACION</v>
          </cell>
          <cell r="D129">
            <v>46065</v>
          </cell>
          <cell r="E129" t="str">
            <v>ORTOPEDIA Y TRAUMA</v>
          </cell>
          <cell r="F129" t="str">
            <v>N/A</v>
          </cell>
          <cell r="G129">
            <v>3992100001</v>
          </cell>
          <cell r="H129" t="str">
            <v>PROTESIS TOTAL DE RODILLA IZQUIERDA, COMPONENTE FEMORAL, COMPONENTE TIBIAL, INSERTO POLIETILENO, CEMENTO CON ANTIBIOTICO Y COMPONENTE PATELAR</v>
          </cell>
          <cell r="I129">
            <v>1</v>
          </cell>
          <cell r="J129" t="str">
            <v>PIEZA</v>
          </cell>
          <cell r="K129">
            <v>3992</v>
          </cell>
          <cell r="L129" t="str">
            <v>MARIA ELENA MANZO TORRES</v>
          </cell>
          <cell r="M129">
            <v>940306</v>
          </cell>
          <cell r="N129" t="str">
            <v>MARIA ELENA MANZO TORRES</v>
          </cell>
          <cell r="O129">
            <v>6054294</v>
          </cell>
          <cell r="P129" t="str">
            <v>JESUS</v>
          </cell>
          <cell r="Q129">
            <v>46065</v>
          </cell>
          <cell r="R129" t="str">
            <v>RECURSOS FINANCIEROS</v>
          </cell>
          <cell r="T129" t="str">
            <v>633/2026</v>
          </cell>
          <cell r="U129">
            <v>46092</v>
          </cell>
          <cell r="V129">
            <v>43000</v>
          </cell>
          <cell r="W129">
            <v>43000</v>
          </cell>
          <cell r="X129">
            <v>6880</v>
          </cell>
          <cell r="Y129">
            <v>49880</v>
          </cell>
          <cell r="Z129">
            <v>13</v>
          </cell>
          <cell r="AA129">
            <v>46093</v>
          </cell>
          <cell r="AB129">
            <v>46099</v>
          </cell>
          <cell r="AC129">
            <v>10</v>
          </cell>
        </row>
        <row r="130">
          <cell r="A130" t="str">
            <v>56/2026</v>
          </cell>
          <cell r="B130">
            <v>56</v>
          </cell>
          <cell r="C130" t="str">
            <v>SUBROGACION</v>
          </cell>
          <cell r="D130">
            <v>46065</v>
          </cell>
          <cell r="E130" t="str">
            <v>ORTOPEDIA Y TRAUMA</v>
          </cell>
          <cell r="F130" t="str">
            <v>N/A</v>
          </cell>
          <cell r="G130">
            <v>3992100001</v>
          </cell>
          <cell r="H130" t="str">
            <v>INTERPULSE / SISTEMA DE LAVADO PULSATIL</v>
          </cell>
          <cell r="J130" t="str">
            <v>SERVICIO</v>
          </cell>
          <cell r="K130">
            <v>3992</v>
          </cell>
          <cell r="L130" t="str">
            <v>MARIA ELENA MANZO TORRES</v>
          </cell>
          <cell r="M130">
            <v>940306</v>
          </cell>
          <cell r="N130" t="str">
            <v>MARIA ELENA MANZO TORRES</v>
          </cell>
          <cell r="O130">
            <v>6054294</v>
          </cell>
          <cell r="P130" t="str">
            <v>JESUS</v>
          </cell>
          <cell r="Q130">
            <v>46065</v>
          </cell>
          <cell r="R130" t="str">
            <v>AUT CAA</v>
          </cell>
        </row>
        <row r="131">
          <cell r="A131" t="str">
            <v>57/2026</v>
          </cell>
          <cell r="B131">
            <v>57</v>
          </cell>
          <cell r="C131" t="str">
            <v>SUBROGACION</v>
          </cell>
          <cell r="D131">
            <v>46065</v>
          </cell>
          <cell r="E131" t="str">
            <v>NEFROLOGIA</v>
          </cell>
          <cell r="F131" t="str">
            <v>N/A</v>
          </cell>
          <cell r="G131">
            <v>3992100001</v>
          </cell>
          <cell r="H131" t="str">
            <v>LINAGLIPTINA 5 MG</v>
          </cell>
          <cell r="I131">
            <v>2</v>
          </cell>
          <cell r="J131" t="str">
            <v>CAJA</v>
          </cell>
          <cell r="K131">
            <v>3992</v>
          </cell>
          <cell r="L131" t="str">
            <v>ROSA DEL SOCORRO BLANCO ROMO</v>
          </cell>
          <cell r="M131">
            <v>2025100</v>
          </cell>
          <cell r="N131" t="str">
            <v>SOCORRO ROMO SANDOVAL</v>
          </cell>
          <cell r="O131">
            <v>23046352</v>
          </cell>
          <cell r="P131" t="str">
            <v>JESUS</v>
          </cell>
          <cell r="Q131">
            <v>46065</v>
          </cell>
          <cell r="R131" t="str">
            <v>AUT CAA</v>
          </cell>
          <cell r="T131" t="str">
            <v>635/2026</v>
          </cell>
          <cell r="U131">
            <v>46092</v>
          </cell>
          <cell r="V131">
            <v>1600</v>
          </cell>
          <cell r="W131">
            <v>3200</v>
          </cell>
          <cell r="X131">
            <v>0</v>
          </cell>
          <cell r="Y131">
            <v>3200</v>
          </cell>
        </row>
        <row r="132">
          <cell r="A132" t="str">
            <v>58/2026</v>
          </cell>
          <cell r="B132">
            <v>58</v>
          </cell>
          <cell r="C132" t="str">
            <v>SUBROGACION</v>
          </cell>
          <cell r="D132">
            <v>46065</v>
          </cell>
          <cell r="E132" t="str">
            <v>TORAX Y CARDIOVASCULAR</v>
          </cell>
          <cell r="F132" t="str">
            <v>N/A</v>
          </cell>
          <cell r="G132">
            <v>3992100001</v>
          </cell>
          <cell r="H132" t="str">
            <v>LASER NEO 1940 CON FIBRA RADIAL</v>
          </cell>
          <cell r="I132">
            <v>1</v>
          </cell>
          <cell r="J132" t="str">
            <v>SERVICIO</v>
          </cell>
          <cell r="K132">
            <v>3992</v>
          </cell>
          <cell r="L132" t="str">
            <v>ELISA ANGEL JASSO</v>
          </cell>
          <cell r="M132">
            <v>2019169</v>
          </cell>
          <cell r="N132" t="str">
            <v>MARIA ERNESTINA JASSO RAMO</v>
          </cell>
          <cell r="O132">
            <v>19070474</v>
          </cell>
          <cell r="P132" t="str">
            <v>JESUS</v>
          </cell>
          <cell r="Q132">
            <v>46065</v>
          </cell>
          <cell r="R132" t="str">
            <v>AUT CAA</v>
          </cell>
        </row>
        <row r="133">
          <cell r="A133" t="str">
            <v>58/2026</v>
          </cell>
          <cell r="B133">
            <v>58</v>
          </cell>
          <cell r="C133" t="str">
            <v>SUBROGACION</v>
          </cell>
          <cell r="D133">
            <v>46065</v>
          </cell>
          <cell r="E133" t="str">
            <v>TORAX Y CARDIOVASCULAR</v>
          </cell>
          <cell r="F133" t="str">
            <v>N/A</v>
          </cell>
          <cell r="G133">
            <v>3992100001</v>
          </cell>
          <cell r="H133" t="str">
            <v>INTRODUCTOR 5 FR</v>
          </cell>
          <cell r="I133">
            <v>1</v>
          </cell>
          <cell r="J133" t="str">
            <v>SERVICIO</v>
          </cell>
          <cell r="K133">
            <v>3992</v>
          </cell>
          <cell r="L133" t="str">
            <v>ELISA ANGEL JASSO</v>
          </cell>
          <cell r="M133">
            <v>2019169</v>
          </cell>
          <cell r="N133" t="str">
            <v>MARIA ERNESTINA JASSO RAMO</v>
          </cell>
          <cell r="O133">
            <v>19070474</v>
          </cell>
          <cell r="P133" t="str">
            <v>JESUS</v>
          </cell>
          <cell r="Q133">
            <v>46065</v>
          </cell>
          <cell r="R133" t="str">
            <v>AUT CAA</v>
          </cell>
        </row>
        <row r="134">
          <cell r="A134" t="str">
            <v>59/2026</v>
          </cell>
          <cell r="B134">
            <v>59</v>
          </cell>
          <cell r="C134" t="str">
            <v>SUBROGACION</v>
          </cell>
          <cell r="D134">
            <v>46065</v>
          </cell>
          <cell r="E134" t="str">
            <v>CARDIOLOGIA</v>
          </cell>
          <cell r="F134" t="str">
            <v>N/A</v>
          </cell>
          <cell r="G134">
            <v>3992100001</v>
          </cell>
          <cell r="H134" t="str">
            <v>SPECT CON MIBI</v>
          </cell>
          <cell r="I134">
            <v>1</v>
          </cell>
          <cell r="J134" t="str">
            <v>SERVICIO</v>
          </cell>
          <cell r="K134">
            <v>3992</v>
          </cell>
          <cell r="L134" t="str">
            <v>ENRIQUE BOGAR REGALADO GONZALEZ</v>
          </cell>
          <cell r="M134">
            <v>2011158</v>
          </cell>
          <cell r="N134" t="str">
            <v>ENRIQUE BOGAR REGALADO GONZALEZ</v>
          </cell>
          <cell r="O134">
            <v>6062143</v>
          </cell>
          <cell r="P134" t="str">
            <v>JESUS</v>
          </cell>
          <cell r="Q134">
            <v>46065</v>
          </cell>
          <cell r="R134" t="str">
            <v>RECURSOS FINANCIEROS</v>
          </cell>
          <cell r="T134" t="str">
            <v>626/2026</v>
          </cell>
          <cell r="U134">
            <v>46091</v>
          </cell>
          <cell r="V134">
            <v>12068.97</v>
          </cell>
          <cell r="W134">
            <v>12068.97</v>
          </cell>
          <cell r="X134">
            <v>1931.0352</v>
          </cell>
          <cell r="Y134">
            <v>14000.0052</v>
          </cell>
          <cell r="Z134">
            <v>13</v>
          </cell>
          <cell r="AA134">
            <v>46093</v>
          </cell>
          <cell r="AB134">
            <v>46099</v>
          </cell>
          <cell r="AC134">
            <v>10</v>
          </cell>
        </row>
        <row r="135">
          <cell r="A135" t="str">
            <v>60/2026</v>
          </cell>
          <cell r="B135">
            <v>60</v>
          </cell>
          <cell r="C135" t="str">
            <v>REEMBOLSO</v>
          </cell>
          <cell r="D135">
            <v>46065</v>
          </cell>
          <cell r="E135" t="str">
            <v>NEUROCIRUGIA</v>
          </cell>
          <cell r="F135" t="str">
            <v>N/A</v>
          </cell>
          <cell r="G135">
            <v>3992100001</v>
          </cell>
          <cell r="H135" t="str">
            <v>RESONANCIA MAGNETICA DE COLUMNAR LUMBAR SIMPLE</v>
          </cell>
          <cell r="I135">
            <v>1</v>
          </cell>
          <cell r="J135" t="str">
            <v>SERVICIO</v>
          </cell>
          <cell r="K135">
            <v>3992</v>
          </cell>
          <cell r="L135" t="str">
            <v>IGNACIO GUERRA REYES</v>
          </cell>
          <cell r="M135">
            <v>2002335</v>
          </cell>
          <cell r="N135" t="str">
            <v>IGNACIO GUERRA REYES</v>
          </cell>
          <cell r="O135">
            <v>6053021</v>
          </cell>
          <cell r="P135" t="str">
            <v>JESUS</v>
          </cell>
          <cell r="Q135">
            <v>46065</v>
          </cell>
          <cell r="R135" t="str">
            <v>AUT CAA</v>
          </cell>
        </row>
        <row r="136">
          <cell r="A136" t="str">
            <v>61/2026</v>
          </cell>
          <cell r="B136">
            <v>61</v>
          </cell>
          <cell r="C136" t="str">
            <v>REEMBOLSO</v>
          </cell>
          <cell r="D136">
            <v>46065</v>
          </cell>
          <cell r="E136" t="str">
            <v>ARTROSCOPIA</v>
          </cell>
          <cell r="F136" t="str">
            <v>N/A</v>
          </cell>
          <cell r="G136">
            <v>3992100001</v>
          </cell>
          <cell r="H136" t="str">
            <v>TORRE ARTROSCOPIA</v>
          </cell>
          <cell r="I136">
            <v>1</v>
          </cell>
          <cell r="J136" t="str">
            <v>SERVICIO</v>
          </cell>
          <cell r="K136">
            <v>3992</v>
          </cell>
          <cell r="L136" t="str">
            <v>MARIA DE LOS ANGELES AMEZCUA</v>
          </cell>
          <cell r="M136">
            <v>980895</v>
          </cell>
          <cell r="N136" t="str">
            <v>ANGELES NAOMI TORRES AMEZCUA</v>
          </cell>
          <cell r="O136">
            <v>6050224</v>
          </cell>
          <cell r="P136" t="str">
            <v>JESUS</v>
          </cell>
          <cell r="Q136">
            <v>46065</v>
          </cell>
          <cell r="R136" t="str">
            <v>AUT CAA</v>
          </cell>
        </row>
        <row r="137">
          <cell r="A137" t="str">
            <v>61/2026</v>
          </cell>
          <cell r="B137">
            <v>61</v>
          </cell>
          <cell r="C137" t="str">
            <v>REEMBOLSO</v>
          </cell>
          <cell r="D137">
            <v>46065</v>
          </cell>
          <cell r="E137" t="str">
            <v>ARTROSCOPIA</v>
          </cell>
          <cell r="F137" t="str">
            <v>N/A</v>
          </cell>
          <cell r="G137">
            <v>3992100001</v>
          </cell>
          <cell r="H137" t="str">
            <v>SET DE LIGAMENTO CRUZADO ANTERIOR</v>
          </cell>
          <cell r="I137">
            <v>1</v>
          </cell>
          <cell r="J137" t="str">
            <v>SERVICIO</v>
          </cell>
          <cell r="K137">
            <v>3992</v>
          </cell>
          <cell r="L137" t="str">
            <v>MARIA DE LOS ANGELES AMEZCUA</v>
          </cell>
          <cell r="M137">
            <v>980895</v>
          </cell>
          <cell r="N137" t="str">
            <v>ANGELES NAOMI TORRES AMEZCUA</v>
          </cell>
          <cell r="O137">
            <v>6050224</v>
          </cell>
          <cell r="P137" t="str">
            <v>JESUS</v>
          </cell>
          <cell r="Q137">
            <v>46065</v>
          </cell>
          <cell r="R137" t="str">
            <v>AUT CAA</v>
          </cell>
        </row>
        <row r="138">
          <cell r="A138" t="str">
            <v>61/2026</v>
          </cell>
          <cell r="B138">
            <v>61</v>
          </cell>
          <cell r="C138" t="str">
            <v>REEMBOLSO</v>
          </cell>
          <cell r="D138">
            <v>46065</v>
          </cell>
          <cell r="E138" t="str">
            <v>ARTROSCOPIA</v>
          </cell>
          <cell r="F138" t="str">
            <v>N/A</v>
          </cell>
          <cell r="G138">
            <v>3992100001</v>
          </cell>
          <cell r="H138" t="str">
            <v>BOMBA DE IRRRIGACION</v>
          </cell>
          <cell r="I138">
            <v>1</v>
          </cell>
          <cell r="J138" t="str">
            <v>SERVICIO</v>
          </cell>
          <cell r="K138">
            <v>3992</v>
          </cell>
          <cell r="L138" t="str">
            <v>MARIA DE LOS ANGELES AMEZCUA</v>
          </cell>
          <cell r="M138">
            <v>980895</v>
          </cell>
          <cell r="N138" t="str">
            <v>ANGELES NAOMI TORRES AMEZCUA</v>
          </cell>
          <cell r="O138">
            <v>6050224</v>
          </cell>
          <cell r="P138" t="str">
            <v>JESUS</v>
          </cell>
          <cell r="Q138">
            <v>46065</v>
          </cell>
          <cell r="R138" t="str">
            <v>AUT CAA</v>
          </cell>
        </row>
        <row r="139">
          <cell r="A139" t="str">
            <v>61/2026</v>
          </cell>
          <cell r="B139">
            <v>61</v>
          </cell>
          <cell r="C139" t="str">
            <v>REEMBOLSO</v>
          </cell>
          <cell r="D139">
            <v>46065</v>
          </cell>
          <cell r="E139" t="str">
            <v>ARTROSCOPIA</v>
          </cell>
          <cell r="F139" t="str">
            <v>N/A</v>
          </cell>
          <cell r="G139">
            <v>3992100001</v>
          </cell>
          <cell r="H139" t="str">
            <v>ANCLA HELLICOID</v>
          </cell>
          <cell r="I139">
            <v>1</v>
          </cell>
          <cell r="J139" t="str">
            <v>PIEZA</v>
          </cell>
          <cell r="K139">
            <v>3992</v>
          </cell>
          <cell r="L139" t="str">
            <v>MARIA DE LOS ANGELES AMEZCUA</v>
          </cell>
          <cell r="M139">
            <v>980895</v>
          </cell>
          <cell r="N139" t="str">
            <v>ANGELES NAOMI TORRES AMEZCUA</v>
          </cell>
          <cell r="O139">
            <v>6050224</v>
          </cell>
          <cell r="P139" t="str">
            <v>JESUS</v>
          </cell>
          <cell r="Q139">
            <v>46065</v>
          </cell>
          <cell r="R139" t="str">
            <v>AUT CAA</v>
          </cell>
        </row>
        <row r="140">
          <cell r="A140" t="str">
            <v>61/2026</v>
          </cell>
          <cell r="B140">
            <v>61</v>
          </cell>
          <cell r="C140" t="str">
            <v>REEMBOLSO</v>
          </cell>
          <cell r="D140">
            <v>46065</v>
          </cell>
          <cell r="E140" t="str">
            <v>ARTROSCOPIA</v>
          </cell>
          <cell r="F140" t="str">
            <v>N/A</v>
          </cell>
          <cell r="G140">
            <v>3992100001</v>
          </cell>
          <cell r="H140" t="str">
            <v>BOTON AJUSTABLE</v>
          </cell>
          <cell r="I140">
            <v>1</v>
          </cell>
          <cell r="J140" t="str">
            <v>PIEZA</v>
          </cell>
          <cell r="K140">
            <v>3992</v>
          </cell>
          <cell r="L140" t="str">
            <v>MARIA DE LOS ANGELES AMEZCUA</v>
          </cell>
          <cell r="M140">
            <v>980895</v>
          </cell>
          <cell r="N140" t="str">
            <v>ANGELES NAOMI TORRES AMEZCUA</v>
          </cell>
          <cell r="O140">
            <v>6050224</v>
          </cell>
          <cell r="P140" t="str">
            <v>JESUS</v>
          </cell>
          <cell r="Q140">
            <v>46065</v>
          </cell>
          <cell r="R140" t="str">
            <v>AUT CAA</v>
          </cell>
        </row>
        <row r="141">
          <cell r="A141" t="str">
            <v>61/2026</v>
          </cell>
          <cell r="B141">
            <v>61</v>
          </cell>
          <cell r="C141" t="str">
            <v>REEMBOLSO</v>
          </cell>
          <cell r="D141">
            <v>46065</v>
          </cell>
          <cell r="E141" t="str">
            <v>ARTROSCOPIA</v>
          </cell>
          <cell r="F141" t="str">
            <v>N/A</v>
          </cell>
          <cell r="G141">
            <v>3992100001</v>
          </cell>
          <cell r="H141" t="str">
            <v>SUTURAS MENISCALES</v>
          </cell>
          <cell r="I141">
            <v>2</v>
          </cell>
          <cell r="J141" t="str">
            <v>PIEZA</v>
          </cell>
          <cell r="K141">
            <v>3992</v>
          </cell>
          <cell r="L141" t="str">
            <v>MARIA DE LOS ANGELES AMEZCUA</v>
          </cell>
          <cell r="M141">
            <v>980895</v>
          </cell>
          <cell r="N141" t="str">
            <v>ANGELES NAOMI TORRES AMEZCUA</v>
          </cell>
          <cell r="O141">
            <v>6050224</v>
          </cell>
          <cell r="P141" t="str">
            <v>JESUS</v>
          </cell>
          <cell r="Q141">
            <v>46065</v>
          </cell>
          <cell r="R141" t="str">
            <v>AUT CAA</v>
          </cell>
        </row>
        <row r="142">
          <cell r="A142" t="str">
            <v>61/2026</v>
          </cell>
          <cell r="B142">
            <v>61</v>
          </cell>
          <cell r="C142" t="str">
            <v>REEMBOLSO</v>
          </cell>
          <cell r="D142">
            <v>46065</v>
          </cell>
          <cell r="E142" t="str">
            <v>ARTROSCOPIA</v>
          </cell>
          <cell r="F142" t="str">
            <v>N/A</v>
          </cell>
          <cell r="G142">
            <v>3992100001</v>
          </cell>
          <cell r="H142" t="str">
            <v>TORNILLO INTERFERENCIA AUTOAJUSTABLE</v>
          </cell>
          <cell r="I142">
            <v>1</v>
          </cell>
          <cell r="J142" t="str">
            <v>PIEZA</v>
          </cell>
          <cell r="K142">
            <v>3992</v>
          </cell>
          <cell r="L142" t="str">
            <v>MARIA DE LOS ANGELES AMEZCUA</v>
          </cell>
          <cell r="M142">
            <v>980895</v>
          </cell>
          <cell r="N142" t="str">
            <v>ANGELES NAOMI TORRES AMEZCUA</v>
          </cell>
          <cell r="O142">
            <v>6050224</v>
          </cell>
          <cell r="P142" t="str">
            <v>JESUS</v>
          </cell>
          <cell r="Q142">
            <v>46065</v>
          </cell>
          <cell r="R142" t="str">
            <v>AUT CAA</v>
          </cell>
        </row>
        <row r="143">
          <cell r="A143" t="str">
            <v>62/2026</v>
          </cell>
          <cell r="B143">
            <v>62</v>
          </cell>
          <cell r="C143" t="str">
            <v>SUBROGACION</v>
          </cell>
          <cell r="D143">
            <v>46066</v>
          </cell>
          <cell r="E143" t="str">
            <v>UROLOGIA</v>
          </cell>
          <cell r="F143" t="str">
            <v>N/A</v>
          </cell>
          <cell r="G143">
            <v>3992100001</v>
          </cell>
          <cell r="H143" t="str">
            <v>URETEROSCOPIO FLEXIBE, NEFROSCOPIO, LASER 100 W</v>
          </cell>
          <cell r="I143">
            <v>1</v>
          </cell>
          <cell r="J143" t="str">
            <v>SERVICIO</v>
          </cell>
          <cell r="K143">
            <v>3992</v>
          </cell>
          <cell r="L143" t="str">
            <v>AVILA CARDENAS JOSE LUIS</v>
          </cell>
          <cell r="M143">
            <v>2025128</v>
          </cell>
          <cell r="N143" t="str">
            <v>ANA ISABEL LOPEZ BARBA</v>
          </cell>
          <cell r="O143">
            <v>12043100</v>
          </cell>
          <cell r="P143" t="str">
            <v>JESUS</v>
          </cell>
          <cell r="Q143">
            <v>46066</v>
          </cell>
          <cell r="R143" t="str">
            <v>CANCELADO</v>
          </cell>
          <cell r="S143" t="str">
            <v>EMPLEADO PERTENECIENTE AL H.C.O.</v>
          </cell>
        </row>
        <row r="144">
          <cell r="A144" t="str">
            <v>63/2026</v>
          </cell>
          <cell r="B144">
            <v>63</v>
          </cell>
          <cell r="C144" t="str">
            <v>SUBROGACION</v>
          </cell>
          <cell r="D144">
            <v>46069</v>
          </cell>
          <cell r="E144" t="str">
            <v>CARDIOLOGIA</v>
          </cell>
          <cell r="F144" t="str">
            <v>N/A</v>
          </cell>
          <cell r="G144">
            <v>3992100001</v>
          </cell>
          <cell r="H144" t="str">
            <v>ESTUDIO ABLACION</v>
          </cell>
          <cell r="I144">
            <v>1</v>
          </cell>
          <cell r="J144" t="str">
            <v>SERVICIO</v>
          </cell>
          <cell r="K144">
            <v>3992</v>
          </cell>
          <cell r="L144" t="str">
            <v>JUANA GUADALUPE GOMEZ BECERRA</v>
          </cell>
          <cell r="M144">
            <v>2011184</v>
          </cell>
          <cell r="N144" t="str">
            <v>JUANA GUADALUPE GOMEZ BECERRA</v>
          </cell>
          <cell r="O144">
            <v>6054567</v>
          </cell>
          <cell r="P144" t="str">
            <v>JESUS</v>
          </cell>
          <cell r="Q144">
            <v>46069</v>
          </cell>
          <cell r="R144" t="str">
            <v>AUT CAA</v>
          </cell>
        </row>
        <row r="145">
          <cell r="A145" t="str">
            <v>64/2026</v>
          </cell>
          <cell r="B145">
            <v>64</v>
          </cell>
          <cell r="C145" t="str">
            <v>COMPRA POR FONDO</v>
          </cell>
          <cell r="D145">
            <v>46070</v>
          </cell>
          <cell r="E145" t="str">
            <v>DIVISION DE SERVICIOS GENERALES</v>
          </cell>
          <cell r="F145" t="str">
            <v>FDSG/63/2026</v>
          </cell>
          <cell r="G145">
            <v>2981003013</v>
          </cell>
          <cell r="H145" t="str">
            <v>RUEDAS PARA ANDAMIO DE 6 GIRATORIAS EN FRENO</v>
          </cell>
          <cell r="I145">
            <v>8</v>
          </cell>
          <cell r="J145" t="str">
            <v>PIEZA</v>
          </cell>
          <cell r="K145">
            <v>2981</v>
          </cell>
          <cell r="L145" t="str">
            <v>N/A</v>
          </cell>
          <cell r="M145" t="str">
            <v>N/A</v>
          </cell>
          <cell r="N145" t="str">
            <v>N/A</v>
          </cell>
          <cell r="O145" t="str">
            <v>N/A</v>
          </cell>
          <cell r="P145" t="str">
            <v>BRENDA</v>
          </cell>
          <cell r="Q145">
            <v>46070</v>
          </cell>
          <cell r="R145" t="str">
            <v>CANCELADO</v>
          </cell>
          <cell r="S145" t="str">
            <v>ING. SANDRA INFORMA QUE YA NO SON NECESARIAS CON EL OFICIO FDSG/98/2026</v>
          </cell>
        </row>
        <row r="146">
          <cell r="A146" t="str">
            <v>65/2026</v>
          </cell>
          <cell r="B146">
            <v>65</v>
          </cell>
          <cell r="C146" t="str">
            <v>COMPRA POR FONDO</v>
          </cell>
          <cell r="D146">
            <v>46070</v>
          </cell>
          <cell r="E146" t="str">
            <v>GINECOLOGIA Y OBSTETRICIA</v>
          </cell>
          <cell r="F146" t="str">
            <v>AHCGSA/202/2026</v>
          </cell>
          <cell r="G146">
            <v>2531549066</v>
          </cell>
          <cell r="H146" t="str">
            <v>010.000.6029.00 TRIPTORELINA. SUSPENSIÓN INYECTABLE. CADA FRASCO ÁMPULA CON LIOFILIZADO CONTIENE: PAMOATO DE TRIPTORELINA EQUIVALENTE A 3.75 MG DE TRIPTORELINA. ENVASE CON UN FRASCO ÁMPULA CON LIOFILIZADO Y AMPOLLETA CON 2 ML DE DILUYENTE Y EQUIPO PA</v>
          </cell>
          <cell r="J146" t="str">
            <v>FRASCO</v>
          </cell>
          <cell r="K146">
            <v>2531</v>
          </cell>
          <cell r="L146" t="str">
            <v>N/A</v>
          </cell>
          <cell r="M146" t="str">
            <v>N/A</v>
          </cell>
          <cell r="N146" t="str">
            <v>N/A</v>
          </cell>
          <cell r="O146" t="str">
            <v>N/A</v>
          </cell>
          <cell r="P146" t="str">
            <v>BRENDA</v>
          </cell>
          <cell r="Q146">
            <v>46070</v>
          </cell>
          <cell r="R146" t="str">
            <v>CANCELADO</v>
          </cell>
          <cell r="S146" t="str">
            <v xml:space="preserve">EL CODIGO NO COINCIDE EN SISTEMA CON LO SOLICITADO, SE MANDA OFICIO AL AREA REQUIRENTE </v>
          </cell>
        </row>
        <row r="147">
          <cell r="A147" t="str">
            <v>66/2026</v>
          </cell>
          <cell r="B147">
            <v>66</v>
          </cell>
          <cell r="C147" t="str">
            <v>COMPRA POR FONDO</v>
          </cell>
          <cell r="D147">
            <v>46070</v>
          </cell>
          <cell r="E147" t="str">
            <v>DIVISION DE PEDIATRIA</v>
          </cell>
          <cell r="F147" t="str">
            <v>AHCGFAA/COEP/189/2026</v>
          </cell>
          <cell r="G147">
            <v>2141002079</v>
          </cell>
          <cell r="H147" t="str">
            <v>TONER P/IMPRESORA NEGRO HP 36A LASERJET (CB436A)</v>
          </cell>
          <cell r="I147">
            <v>5</v>
          </cell>
          <cell r="J147" t="str">
            <v>PIEZA</v>
          </cell>
          <cell r="K147">
            <v>2141</v>
          </cell>
          <cell r="L147" t="str">
            <v>N/A</v>
          </cell>
          <cell r="M147" t="str">
            <v>N/A</v>
          </cell>
          <cell r="N147" t="str">
            <v>N/A</v>
          </cell>
          <cell r="O147" t="str">
            <v>N/A</v>
          </cell>
          <cell r="P147" t="str">
            <v>BRENDA</v>
          </cell>
          <cell r="Q147">
            <v>46070</v>
          </cell>
          <cell r="R147" t="str">
            <v>RECURSOS FINANCIEROS</v>
          </cell>
          <cell r="T147" t="str">
            <v>572/2026</v>
          </cell>
          <cell r="U147">
            <v>46084</v>
          </cell>
          <cell r="V147">
            <v>1430</v>
          </cell>
          <cell r="W147">
            <v>7150</v>
          </cell>
          <cell r="X147">
            <v>1144</v>
          </cell>
          <cell r="Y147">
            <v>8294</v>
          </cell>
          <cell r="Z147">
            <v>10</v>
          </cell>
          <cell r="AA147">
            <v>46085</v>
          </cell>
          <cell r="AB147">
            <v>46090</v>
          </cell>
          <cell r="AC147">
            <v>7</v>
          </cell>
          <cell r="AD147">
            <v>5</v>
          </cell>
          <cell r="AE147">
            <v>134</v>
          </cell>
          <cell r="AF147">
            <v>46094</v>
          </cell>
          <cell r="AG147" t="str">
            <v>GAMA SISTEMAS SA DE CV</v>
          </cell>
        </row>
        <row r="148">
          <cell r="A148" t="str">
            <v>67/2026</v>
          </cell>
          <cell r="B148">
            <v>67</v>
          </cell>
          <cell r="C148" t="str">
            <v>COMPRA POR FONDO</v>
          </cell>
          <cell r="D148">
            <v>46069</v>
          </cell>
          <cell r="E148" t="str">
            <v xml:space="preserve">FARMACIA GENERAL </v>
          </cell>
          <cell r="F148" t="str">
            <v>AHCGSA/203/2026</v>
          </cell>
          <cell r="G148">
            <v>2531175065</v>
          </cell>
          <cell r="H148" t="str">
            <v>LORAZEPAM 2MG/ML AMPULA</v>
          </cell>
          <cell r="I148">
            <v>120</v>
          </cell>
          <cell r="J148" t="str">
            <v>FRASCO</v>
          </cell>
          <cell r="K148">
            <v>2531</v>
          </cell>
          <cell r="L148" t="str">
            <v>N/A</v>
          </cell>
          <cell r="M148" t="str">
            <v>N/A</v>
          </cell>
          <cell r="N148" t="str">
            <v>N/A</v>
          </cell>
          <cell r="O148" t="str">
            <v>N/A</v>
          </cell>
          <cell r="P148" t="str">
            <v>BRENDA</v>
          </cell>
          <cell r="Q148">
            <v>46070</v>
          </cell>
          <cell r="R148" t="str">
            <v>COTIZACION</v>
          </cell>
        </row>
        <row r="149">
          <cell r="A149" t="str">
            <v>67/2026</v>
          </cell>
          <cell r="B149">
            <v>67</v>
          </cell>
          <cell r="C149" t="str">
            <v>COMPRA POR FONDO</v>
          </cell>
          <cell r="D149">
            <v>46069</v>
          </cell>
          <cell r="E149" t="str">
            <v xml:space="preserve">FARMACIA GENERAL </v>
          </cell>
          <cell r="F149" t="str">
            <v>AHCGSA/203/2026</v>
          </cell>
          <cell r="G149">
            <v>2531175064</v>
          </cell>
          <cell r="H149" t="str">
            <v>LORAZEPAM 1MG/ML AMPULA</v>
          </cell>
          <cell r="I149">
            <v>120</v>
          </cell>
          <cell r="J149" t="str">
            <v>FRASCO</v>
          </cell>
          <cell r="K149">
            <v>2531</v>
          </cell>
          <cell r="L149" t="str">
            <v>N/A</v>
          </cell>
          <cell r="M149" t="str">
            <v>N/A</v>
          </cell>
          <cell r="N149" t="str">
            <v>N/A</v>
          </cell>
          <cell r="O149" t="str">
            <v>N/A</v>
          </cell>
          <cell r="P149" t="str">
            <v>BRENDA</v>
          </cell>
          <cell r="Q149">
            <v>46070</v>
          </cell>
          <cell r="R149" t="str">
            <v>COTIZACION</v>
          </cell>
        </row>
        <row r="150">
          <cell r="A150" t="str">
            <v>68/2026</v>
          </cell>
          <cell r="B150">
            <v>68</v>
          </cell>
          <cell r="C150" t="str">
            <v>REEMBOLSO</v>
          </cell>
          <cell r="D150">
            <v>46070</v>
          </cell>
          <cell r="E150" t="str">
            <v>ORTOPEDIA Y TRAUMA</v>
          </cell>
          <cell r="F150" t="str">
            <v>N/A</v>
          </cell>
          <cell r="G150">
            <v>3992100001</v>
          </cell>
          <cell r="H150" t="str">
            <v>PROTESIS BIPOLAR DE CADERA, VASTAGO FEMORAL PRIMARIO CEMENTADO, COPA ACTABULAR TIPO BIPOLAR, CEMENTO OSEO CON ANTIBIOTICO CON CARTUCHO Y PISTOLA, TAPON DISTAL Y CENTRALIZADOR</v>
          </cell>
          <cell r="I150">
            <v>1</v>
          </cell>
          <cell r="J150" t="str">
            <v>PIEZA</v>
          </cell>
          <cell r="K150">
            <v>3992</v>
          </cell>
          <cell r="L150" t="str">
            <v>RICARDO ARELLANO LOPEZ</v>
          </cell>
          <cell r="M150">
            <v>2020147</v>
          </cell>
          <cell r="N150" t="str">
            <v>LOPEZ ZEPEDA AMELIA</v>
          </cell>
          <cell r="O150">
            <v>6034506</v>
          </cell>
          <cell r="P150" t="str">
            <v>JESUS</v>
          </cell>
          <cell r="Q150">
            <v>46070</v>
          </cell>
          <cell r="R150" t="str">
            <v>COTIZACION</v>
          </cell>
        </row>
        <row r="151">
          <cell r="A151" t="str">
            <v>68/2026</v>
          </cell>
          <cell r="B151">
            <v>68</v>
          </cell>
          <cell r="C151" t="str">
            <v>REEMBOLSO</v>
          </cell>
          <cell r="D151">
            <v>46070</v>
          </cell>
          <cell r="E151" t="str">
            <v>ORTOPEDIA Y TRAUMA</v>
          </cell>
          <cell r="F151" t="str">
            <v>N/A</v>
          </cell>
          <cell r="G151">
            <v>3992100001</v>
          </cell>
          <cell r="H151" t="str">
            <v>SET DE COLOCACION</v>
          </cell>
          <cell r="I151">
            <v>1</v>
          </cell>
          <cell r="J151" t="str">
            <v>SERVICIO</v>
          </cell>
          <cell r="K151">
            <v>3992</v>
          </cell>
          <cell r="L151" t="str">
            <v>RICARDO ARELLANO LOPEZ</v>
          </cell>
          <cell r="M151">
            <v>2020147</v>
          </cell>
          <cell r="N151" t="str">
            <v>LOPEZ ZEPEDA AMELIA</v>
          </cell>
          <cell r="O151">
            <v>6034506</v>
          </cell>
          <cell r="P151" t="str">
            <v>JESUS</v>
          </cell>
          <cell r="Q151">
            <v>46070</v>
          </cell>
          <cell r="R151" t="str">
            <v>COTIZACION</v>
          </cell>
        </row>
        <row r="152">
          <cell r="A152" t="str">
            <v>68/2026</v>
          </cell>
          <cell r="B152">
            <v>68</v>
          </cell>
          <cell r="C152" t="str">
            <v>REEMBOLSO</v>
          </cell>
          <cell r="D152">
            <v>46070</v>
          </cell>
          <cell r="E152" t="str">
            <v>ORTOPEDIA Y TRAUMA</v>
          </cell>
          <cell r="F152" t="str">
            <v>N/A</v>
          </cell>
          <cell r="G152">
            <v>3992100001</v>
          </cell>
          <cell r="H152" t="str">
            <v>MATERIAL DE APOYO</v>
          </cell>
          <cell r="I152">
            <v>1</v>
          </cell>
          <cell r="J152" t="str">
            <v>SERVICIO</v>
          </cell>
          <cell r="K152">
            <v>3992</v>
          </cell>
          <cell r="L152" t="str">
            <v>RICARDO ARELLANO LOPEZ</v>
          </cell>
          <cell r="M152">
            <v>2020147</v>
          </cell>
          <cell r="N152" t="str">
            <v>LOPEZ ZEPEDA AMELIA</v>
          </cell>
          <cell r="O152">
            <v>6034506</v>
          </cell>
          <cell r="P152" t="str">
            <v>JESUS</v>
          </cell>
          <cell r="Q152">
            <v>46070</v>
          </cell>
          <cell r="R152" t="str">
            <v>COTIZACION</v>
          </cell>
        </row>
        <row r="153">
          <cell r="A153" t="str">
            <v>69/2026</v>
          </cell>
          <cell r="B153">
            <v>69</v>
          </cell>
          <cell r="C153" t="str">
            <v>SUBROGACION</v>
          </cell>
          <cell r="D153">
            <v>46070</v>
          </cell>
          <cell r="E153" t="str">
            <v>NEFROLOGIA Y TRANSPLANTE</v>
          </cell>
          <cell r="F153" t="str">
            <v>N/A</v>
          </cell>
          <cell r="G153">
            <v>3992100001</v>
          </cell>
          <cell r="H153" t="str">
            <v>ACIDO MICOFENOLICO 360 MG GRAGEA</v>
          </cell>
          <cell r="I153">
            <v>2</v>
          </cell>
          <cell r="J153" t="str">
            <v>CAJA</v>
          </cell>
          <cell r="K153">
            <v>3992</v>
          </cell>
          <cell r="L153" t="str">
            <v>JOSE ANTONIO CORTES RODRIGUEZ</v>
          </cell>
          <cell r="M153">
            <v>2012360</v>
          </cell>
          <cell r="N153" t="str">
            <v>JOSE ANTONIO CORTES RODRIGUEZ</v>
          </cell>
          <cell r="O153">
            <v>6052642</v>
          </cell>
          <cell r="P153" t="str">
            <v>JESUS</v>
          </cell>
          <cell r="Q153">
            <v>46070</v>
          </cell>
          <cell r="R153" t="str">
            <v>COTIZACION</v>
          </cell>
        </row>
        <row r="154">
          <cell r="A154" t="str">
            <v>69/2026</v>
          </cell>
          <cell r="B154">
            <v>69</v>
          </cell>
          <cell r="C154" t="str">
            <v>SUBROGACION</v>
          </cell>
          <cell r="D154">
            <v>46070</v>
          </cell>
          <cell r="E154" t="str">
            <v>NEFROLOGIA Y TRANSPLANTE</v>
          </cell>
          <cell r="F154" t="str">
            <v>N/A</v>
          </cell>
          <cell r="G154">
            <v>3992100001</v>
          </cell>
          <cell r="H154" t="str">
            <v>VILDAGLIPTINA +  METFORMINA 50/850 MG COMPRIMIDO</v>
          </cell>
          <cell r="I154">
            <v>2</v>
          </cell>
          <cell r="J154" t="str">
            <v>CAJA</v>
          </cell>
          <cell r="K154">
            <v>3992</v>
          </cell>
          <cell r="L154" t="str">
            <v>JOSE ANTONIO CORTES RODRIGUEZ</v>
          </cell>
          <cell r="M154">
            <v>2012360</v>
          </cell>
          <cell r="N154" t="str">
            <v>JOSE ANTONIO CORTES RODRIGUEZ</v>
          </cell>
          <cell r="O154">
            <v>6052642</v>
          </cell>
          <cell r="P154" t="str">
            <v>JESUS</v>
          </cell>
          <cell r="Q154">
            <v>46070</v>
          </cell>
          <cell r="R154" t="str">
            <v>COTIZACION</v>
          </cell>
        </row>
        <row r="155">
          <cell r="A155" t="str">
            <v>70/2026</v>
          </cell>
          <cell r="B155">
            <v>70</v>
          </cell>
          <cell r="C155" t="str">
            <v>REEMBOLSO</v>
          </cell>
          <cell r="D155">
            <v>46070</v>
          </cell>
          <cell r="E155" t="str">
            <v>ORTOPEDIA Y TRAUMA</v>
          </cell>
          <cell r="F155" t="str">
            <v>N/A</v>
          </cell>
          <cell r="G155">
            <v>3992100001</v>
          </cell>
          <cell r="H155" t="str">
            <v>PLACA LCP ANATOMICA DE MALEOLO LAT + TORNILLERIA</v>
          </cell>
          <cell r="I155">
            <v>1</v>
          </cell>
          <cell r="J155" t="str">
            <v>PIEZA</v>
          </cell>
          <cell r="K155">
            <v>3992</v>
          </cell>
          <cell r="L155" t="str">
            <v>NORMA PATRICIA ALVAREZ FLORES</v>
          </cell>
          <cell r="M155">
            <v>980892</v>
          </cell>
          <cell r="N155" t="str">
            <v>NORMA PATRICIA ALVAREZ FLORES</v>
          </cell>
          <cell r="O155">
            <v>5044963</v>
          </cell>
          <cell r="P155" t="str">
            <v>JESUS</v>
          </cell>
          <cell r="Q155">
            <v>46070</v>
          </cell>
          <cell r="R155" t="str">
            <v>RECURSOS FINANCIEROS</v>
          </cell>
          <cell r="T155" t="str">
            <v>504/2026</v>
          </cell>
          <cell r="U155">
            <v>46065</v>
          </cell>
          <cell r="V155">
            <v>15600</v>
          </cell>
          <cell r="W155">
            <v>15600</v>
          </cell>
          <cell r="X155">
            <v>2496</v>
          </cell>
          <cell r="Y155">
            <v>18096</v>
          </cell>
          <cell r="Z155">
            <v>6</v>
          </cell>
          <cell r="AA155">
            <v>46080</v>
          </cell>
          <cell r="AB155">
            <v>46084</v>
          </cell>
          <cell r="AC155">
            <v>5</v>
          </cell>
          <cell r="AD155" t="str">
            <v>N/A</v>
          </cell>
          <cell r="AE155" t="str">
            <v>N/A</v>
          </cell>
          <cell r="AF155" t="str">
            <v>N/A</v>
          </cell>
          <cell r="AG155" t="str">
            <v>ABRAHAM BONIFACIO SANCHEZ ESPARZA</v>
          </cell>
          <cell r="AH155" t="str">
            <v>N/A</v>
          </cell>
          <cell r="AI155" t="str">
            <v>N/A</v>
          </cell>
          <cell r="AJ155" t="str">
            <v>SAT-757</v>
          </cell>
          <cell r="AK155">
            <v>46065</v>
          </cell>
          <cell r="AL155">
            <v>46090</v>
          </cell>
        </row>
        <row r="156">
          <cell r="A156" t="str">
            <v>70/2026</v>
          </cell>
          <cell r="B156">
            <v>70</v>
          </cell>
          <cell r="C156" t="str">
            <v>REEMBOLSO</v>
          </cell>
          <cell r="D156">
            <v>46070</v>
          </cell>
          <cell r="E156" t="str">
            <v>ORTOPEDIA Y TRAUMA</v>
          </cell>
          <cell r="F156" t="str">
            <v>N/A</v>
          </cell>
          <cell r="G156">
            <v>3992100001</v>
          </cell>
          <cell r="H156" t="str">
            <v>TORNILLO CANULADO 4.0 MM CON ARANDELA</v>
          </cell>
          <cell r="I156">
            <v>1</v>
          </cell>
          <cell r="J156" t="str">
            <v>PIEZA</v>
          </cell>
          <cell r="K156">
            <v>3992</v>
          </cell>
          <cell r="L156" t="str">
            <v>NORMA PATRICIA ALVAREZ FLORES</v>
          </cell>
          <cell r="M156">
            <v>980892</v>
          </cell>
          <cell r="N156" t="str">
            <v>NORMA PATRICIA ALVAREZ FLORES</v>
          </cell>
          <cell r="O156">
            <v>5044963</v>
          </cell>
          <cell r="P156" t="str">
            <v>JESUS</v>
          </cell>
          <cell r="Q156">
            <v>46070</v>
          </cell>
          <cell r="R156" t="str">
            <v>RECURSOS FINANCIEROS</v>
          </cell>
          <cell r="T156" t="str">
            <v>504/2026</v>
          </cell>
          <cell r="U156">
            <v>46065</v>
          </cell>
          <cell r="V156">
            <v>0</v>
          </cell>
          <cell r="W156">
            <v>0</v>
          </cell>
          <cell r="X156">
            <v>0</v>
          </cell>
          <cell r="Y156">
            <v>0</v>
          </cell>
          <cell r="Z156">
            <v>6</v>
          </cell>
          <cell r="AA156">
            <v>46080</v>
          </cell>
          <cell r="AB156">
            <v>46084</v>
          </cell>
          <cell r="AC156">
            <v>5</v>
          </cell>
          <cell r="AD156" t="str">
            <v>N/A</v>
          </cell>
          <cell r="AE156" t="str">
            <v>N/A</v>
          </cell>
          <cell r="AF156" t="str">
            <v>N/A</v>
          </cell>
          <cell r="AG156" t="str">
            <v>ABRAHAM BONIFACIO SANCHEZ ESPARZA</v>
          </cell>
          <cell r="AH156" t="str">
            <v>N/A</v>
          </cell>
          <cell r="AI156" t="str">
            <v>N/A</v>
          </cell>
          <cell r="AJ156" t="str">
            <v>SAT-757</v>
          </cell>
          <cell r="AK156">
            <v>46065</v>
          </cell>
          <cell r="AL156">
            <v>46090</v>
          </cell>
        </row>
        <row r="157">
          <cell r="A157" t="str">
            <v>70/2026</v>
          </cell>
          <cell r="B157">
            <v>70</v>
          </cell>
          <cell r="C157" t="str">
            <v>REEMBOLSO</v>
          </cell>
          <cell r="D157">
            <v>46070</v>
          </cell>
          <cell r="E157" t="str">
            <v>ORTOPEDIA Y TRAUMA</v>
          </cell>
          <cell r="F157" t="str">
            <v>N/A</v>
          </cell>
          <cell r="G157">
            <v>3992100001</v>
          </cell>
          <cell r="H157" t="str">
            <v>PERFORADOR ESTERIL</v>
          </cell>
          <cell r="I157">
            <v>1</v>
          </cell>
          <cell r="J157" t="str">
            <v>SERVICIO</v>
          </cell>
          <cell r="K157">
            <v>3992</v>
          </cell>
          <cell r="L157" t="str">
            <v>NORMA PATRICIA ALVAREZ FLORES</v>
          </cell>
          <cell r="M157">
            <v>980892</v>
          </cell>
          <cell r="N157" t="str">
            <v>NORMA PATRICIA ALVAREZ FLORES</v>
          </cell>
          <cell r="O157">
            <v>5044963</v>
          </cell>
          <cell r="P157" t="str">
            <v>JESUS</v>
          </cell>
          <cell r="Q157">
            <v>46070</v>
          </cell>
          <cell r="R157" t="str">
            <v>RECURSOS FINANCIEROS</v>
          </cell>
          <cell r="T157" t="str">
            <v>504/2026</v>
          </cell>
          <cell r="U157">
            <v>46065</v>
          </cell>
          <cell r="V157">
            <v>0</v>
          </cell>
          <cell r="W157">
            <v>0</v>
          </cell>
          <cell r="X157">
            <v>0</v>
          </cell>
          <cell r="Y157">
            <v>0</v>
          </cell>
          <cell r="Z157">
            <v>6</v>
          </cell>
          <cell r="AA157">
            <v>46080</v>
          </cell>
          <cell r="AB157">
            <v>46084</v>
          </cell>
          <cell r="AC157">
            <v>5</v>
          </cell>
          <cell r="AD157" t="str">
            <v>N/A</v>
          </cell>
          <cell r="AE157" t="str">
            <v>N/A</v>
          </cell>
          <cell r="AF157" t="str">
            <v>N/A</v>
          </cell>
          <cell r="AG157" t="str">
            <v>ABRAHAM BONIFACIO SANCHEZ ESPARZA</v>
          </cell>
          <cell r="AH157" t="str">
            <v>N/A</v>
          </cell>
          <cell r="AI157" t="str">
            <v>N/A</v>
          </cell>
          <cell r="AJ157" t="str">
            <v>SAT-757</v>
          </cell>
          <cell r="AK157">
            <v>46065</v>
          </cell>
          <cell r="AL157">
            <v>46090</v>
          </cell>
        </row>
        <row r="158">
          <cell r="A158" t="str">
            <v>70/2026</v>
          </cell>
          <cell r="B158">
            <v>70</v>
          </cell>
          <cell r="C158" t="str">
            <v>REEMBOLSO</v>
          </cell>
          <cell r="D158">
            <v>46070</v>
          </cell>
          <cell r="E158" t="str">
            <v>ORTOPEDIA Y TRAUMA</v>
          </cell>
          <cell r="F158" t="str">
            <v>N/A</v>
          </cell>
          <cell r="G158">
            <v>3992100001</v>
          </cell>
          <cell r="H158" t="str">
            <v>INSTRUMENTAL DE APOYO</v>
          </cell>
          <cell r="I158">
            <v>1</v>
          </cell>
          <cell r="J158" t="str">
            <v>SERVICIO</v>
          </cell>
          <cell r="K158">
            <v>3992</v>
          </cell>
          <cell r="L158" t="str">
            <v>NORMA PATRICIA ALVAREZ FLORES</v>
          </cell>
          <cell r="M158">
            <v>980892</v>
          </cell>
          <cell r="N158" t="str">
            <v>NORMA PATRICIA ALVAREZ FLORES</v>
          </cell>
          <cell r="O158">
            <v>5044963</v>
          </cell>
          <cell r="P158" t="str">
            <v>JESUS</v>
          </cell>
          <cell r="Q158">
            <v>46070</v>
          </cell>
          <cell r="R158" t="str">
            <v>RECURSOS FINANCIEROS</v>
          </cell>
          <cell r="T158" t="str">
            <v>504/2026</v>
          </cell>
          <cell r="U158">
            <v>46065</v>
          </cell>
          <cell r="V158">
            <v>0</v>
          </cell>
          <cell r="W158">
            <v>0</v>
          </cell>
          <cell r="X158">
            <v>0</v>
          </cell>
          <cell r="Y158">
            <v>0</v>
          </cell>
          <cell r="Z158">
            <v>6</v>
          </cell>
          <cell r="AA158">
            <v>46080</v>
          </cell>
          <cell r="AB158">
            <v>46084</v>
          </cell>
          <cell r="AC158">
            <v>5</v>
          </cell>
          <cell r="AD158" t="str">
            <v>N/A</v>
          </cell>
          <cell r="AE158" t="str">
            <v>N/A</v>
          </cell>
          <cell r="AF158" t="str">
            <v>N/A</v>
          </cell>
          <cell r="AG158" t="str">
            <v>ABRAHAM BONIFACIO SANCHEZ ESPARZA</v>
          </cell>
          <cell r="AH158" t="str">
            <v>N/A</v>
          </cell>
          <cell r="AI158" t="str">
            <v>N/A</v>
          </cell>
          <cell r="AJ158" t="str">
            <v>SAT-757</v>
          </cell>
          <cell r="AK158">
            <v>46065</v>
          </cell>
          <cell r="AL158">
            <v>46090</v>
          </cell>
        </row>
        <row r="159">
          <cell r="A159" t="str">
            <v>71/2026</v>
          </cell>
          <cell r="B159">
            <v>71</v>
          </cell>
          <cell r="C159" t="str">
            <v>COMPRA POR FONDO</v>
          </cell>
          <cell r="D159">
            <v>46070</v>
          </cell>
          <cell r="E159" t="str">
            <v>ALMACEN DE ÁREAS QUIRURGICAS</v>
          </cell>
          <cell r="F159" t="str">
            <v>AAQX06/17/02/2026</v>
          </cell>
          <cell r="G159">
            <v>2541294009</v>
          </cell>
          <cell r="H159" t="str">
            <v>060.869.0251 TELAS ADHESIVAS. DE ACETATO CON ADHESIVO EN UNA DE SUS CARAS. LONGITUD: 10 M. ANCHO: 7.50 CM. PRESENTACIÓN: 4 PIEZAS.</v>
          </cell>
          <cell r="I159">
            <v>3500</v>
          </cell>
          <cell r="J159" t="str">
            <v>PIEZA</v>
          </cell>
          <cell r="K159">
            <v>2541</v>
          </cell>
          <cell r="L159" t="str">
            <v>N/A</v>
          </cell>
          <cell r="M159" t="str">
            <v>N/A</v>
          </cell>
          <cell r="N159" t="str">
            <v>N/A</v>
          </cell>
          <cell r="O159" t="str">
            <v>N/A</v>
          </cell>
          <cell r="P159" t="str">
            <v>BRENDA</v>
          </cell>
          <cell r="Q159">
            <v>46070</v>
          </cell>
          <cell r="R159" t="str">
            <v>RECURSOS FINANCIEROS</v>
          </cell>
          <cell r="T159" t="str">
            <v>573/2026</v>
          </cell>
          <cell r="U159">
            <v>46084</v>
          </cell>
          <cell r="V159">
            <v>276</v>
          </cell>
          <cell r="W159">
            <v>64584</v>
          </cell>
          <cell r="X159">
            <v>10333.44</v>
          </cell>
          <cell r="Y159">
            <v>74917.440000000002</v>
          </cell>
          <cell r="Z159">
            <v>10</v>
          </cell>
          <cell r="AA159">
            <v>46085</v>
          </cell>
          <cell r="AB159">
            <v>46090</v>
          </cell>
          <cell r="AC159">
            <v>7</v>
          </cell>
          <cell r="AD159">
            <v>234</v>
          </cell>
          <cell r="AE159">
            <v>135</v>
          </cell>
          <cell r="AF159">
            <v>46098</v>
          </cell>
          <cell r="AG159" t="str">
            <v>PROMEDICA GARCIA SA DE CV</v>
          </cell>
          <cell r="AH159" t="str">
            <v>ENTREGADO</v>
          </cell>
          <cell r="AI159">
            <v>46104</v>
          </cell>
          <cell r="AJ159">
            <v>454676</v>
          </cell>
          <cell r="AK159">
            <v>46104</v>
          </cell>
          <cell r="AN159" t="str">
            <v xml:space="preserve"> </v>
          </cell>
        </row>
        <row r="160">
          <cell r="A160" t="str">
            <v>72/2026</v>
          </cell>
          <cell r="B160">
            <v>72</v>
          </cell>
          <cell r="C160" t="str">
            <v>COMPRA POR FONDO</v>
          </cell>
          <cell r="D160">
            <v>46070</v>
          </cell>
          <cell r="E160" t="str">
            <v>INGENIERIA BIOMEDICA</v>
          </cell>
          <cell r="F160" t="str">
            <v>FDIB/32/2026</v>
          </cell>
          <cell r="G160">
            <v>3541002169</v>
          </cell>
          <cell r="H160" t="str">
            <v>MANTENIMIENTO PREVENTIVO Y CORRECTIVO INTEGRAL A EQUIPO DE ENDOSCOPIA, VIDEOENDOSCOPIO, PARA EQUIPO MARCA: FUJIFILM, MODELO: PMPYC1AEEVE</v>
          </cell>
          <cell r="I160">
            <v>1</v>
          </cell>
          <cell r="J160" t="str">
            <v>SERVICIO</v>
          </cell>
          <cell r="K160">
            <v>3551</v>
          </cell>
          <cell r="L160" t="str">
            <v>N/A</v>
          </cell>
          <cell r="M160" t="str">
            <v>N/A</v>
          </cell>
          <cell r="N160" t="str">
            <v>N/A</v>
          </cell>
          <cell r="O160" t="str">
            <v>N/A</v>
          </cell>
          <cell r="P160" t="str">
            <v>BRENDA</v>
          </cell>
          <cell r="Q160">
            <v>46070</v>
          </cell>
          <cell r="R160" t="str">
            <v>COTIZACION</v>
          </cell>
          <cell r="S160" t="str">
            <v>EN ESPERA DE VALIDACION DESDE EL 20 DE FEBRERO 2026</v>
          </cell>
        </row>
        <row r="161">
          <cell r="A161" t="str">
            <v>73/2026</v>
          </cell>
          <cell r="B161">
            <v>73</v>
          </cell>
          <cell r="C161" t="str">
            <v>REEMBOLSO</v>
          </cell>
          <cell r="D161">
            <v>46070</v>
          </cell>
          <cell r="E161" t="str">
            <v>GINECOLOGIA Y OBSTETRICIA</v>
          </cell>
          <cell r="F161" t="str">
            <v>N/A</v>
          </cell>
          <cell r="G161">
            <v>3992100001</v>
          </cell>
          <cell r="H161" t="str">
            <v>RENTA DE EQUIPO DE LAPAROSCOPIA</v>
          </cell>
          <cell r="I161">
            <v>1</v>
          </cell>
          <cell r="J161" t="str">
            <v>SERVICIO</v>
          </cell>
          <cell r="K161">
            <v>3992</v>
          </cell>
          <cell r="L161" t="str">
            <v>ANA GABRIELA LUNA AVILA</v>
          </cell>
          <cell r="M161">
            <v>2013328</v>
          </cell>
          <cell r="N161" t="str">
            <v>ANA GABRIELA LUNA AVILA</v>
          </cell>
          <cell r="O161">
            <v>9023225</v>
          </cell>
          <cell r="P161" t="str">
            <v>JESUS</v>
          </cell>
          <cell r="Q161">
            <v>46070</v>
          </cell>
          <cell r="R161" t="str">
            <v>RECURSOS FINANCIEROS</v>
          </cell>
          <cell r="T161" t="str">
            <v>562/2026</v>
          </cell>
          <cell r="U161">
            <v>46084</v>
          </cell>
          <cell r="V161">
            <v>4000</v>
          </cell>
          <cell r="W161">
            <v>4000</v>
          </cell>
          <cell r="X161">
            <v>640</v>
          </cell>
          <cell r="Y161">
            <v>4640</v>
          </cell>
        </row>
        <row r="162">
          <cell r="A162" t="str">
            <v>74/2026</v>
          </cell>
          <cell r="B162">
            <v>74</v>
          </cell>
          <cell r="C162" t="str">
            <v>SUBROGACION</v>
          </cell>
          <cell r="D162">
            <v>46070</v>
          </cell>
          <cell r="E162" t="str">
            <v>ORTOPEDIA Y TRAUMA</v>
          </cell>
          <cell r="F162" t="str">
            <v>N/A</v>
          </cell>
          <cell r="G162">
            <v>3992100001</v>
          </cell>
          <cell r="H162" t="str">
            <v>PLACA DE ARTRODESIS DE HALLUX</v>
          </cell>
          <cell r="I162">
            <v>1</v>
          </cell>
          <cell r="J162" t="str">
            <v>PIEZA</v>
          </cell>
          <cell r="K162">
            <v>3992</v>
          </cell>
          <cell r="L162" t="str">
            <v>RICARDO AVILA ESPARZA</v>
          </cell>
          <cell r="M162">
            <v>2022010</v>
          </cell>
          <cell r="N162" t="str">
            <v>MARIA DEL REFUGIO ESPARZA ALANIZ</v>
          </cell>
          <cell r="O162">
            <v>21043405</v>
          </cell>
          <cell r="P162" t="str">
            <v>JESUS</v>
          </cell>
          <cell r="Q162">
            <v>46070</v>
          </cell>
          <cell r="R162" t="str">
            <v>COTIZACION</v>
          </cell>
        </row>
        <row r="163">
          <cell r="A163" t="str">
            <v>74/2026</v>
          </cell>
          <cell r="B163">
            <v>74</v>
          </cell>
          <cell r="C163" t="str">
            <v>SUBROGACION</v>
          </cell>
          <cell r="D163">
            <v>46070</v>
          </cell>
          <cell r="E163" t="str">
            <v>ORTOPEDIA Y TRAUMA</v>
          </cell>
          <cell r="F163" t="str">
            <v>N/A</v>
          </cell>
          <cell r="G163">
            <v>3992100001</v>
          </cell>
          <cell r="H163" t="str">
            <v>TORNILLO CANULADO 2.5</v>
          </cell>
          <cell r="I163">
            <v>1</v>
          </cell>
          <cell r="J163" t="str">
            <v>PIEZA</v>
          </cell>
          <cell r="K163">
            <v>3992</v>
          </cell>
          <cell r="L163" t="str">
            <v>RICARDO AVILA ESPARZA</v>
          </cell>
          <cell r="M163">
            <v>2022010</v>
          </cell>
          <cell r="N163" t="str">
            <v>MARIA DEL REFUGIO ESPARZA ALANIZ</v>
          </cell>
          <cell r="O163">
            <v>21043405</v>
          </cell>
          <cell r="P163" t="str">
            <v>JESUS</v>
          </cell>
          <cell r="Q163">
            <v>46070</v>
          </cell>
          <cell r="R163" t="str">
            <v>COTIZACION</v>
          </cell>
        </row>
        <row r="164">
          <cell r="A164" t="str">
            <v>74/2026</v>
          </cell>
          <cell r="B164">
            <v>74</v>
          </cell>
          <cell r="C164" t="str">
            <v>SUBROGACION</v>
          </cell>
          <cell r="D164">
            <v>46070</v>
          </cell>
          <cell r="E164" t="str">
            <v>ORTOPEDIA Y TRAUMA</v>
          </cell>
          <cell r="F164" t="str">
            <v>N/A</v>
          </cell>
          <cell r="G164">
            <v>3992100001</v>
          </cell>
          <cell r="H164" t="str">
            <v>BROCA CONCAVA Y CONVEXA</v>
          </cell>
          <cell r="I164">
            <v>1</v>
          </cell>
          <cell r="J164" t="str">
            <v>SERVICIO</v>
          </cell>
          <cell r="K164">
            <v>3992</v>
          </cell>
          <cell r="L164" t="str">
            <v>RICARDO AVILA ESPARZA</v>
          </cell>
          <cell r="M164">
            <v>2022010</v>
          </cell>
          <cell r="N164" t="str">
            <v>MARIA DEL REFUGIO ESPARZA ALANIZ</v>
          </cell>
          <cell r="O164">
            <v>21043405</v>
          </cell>
          <cell r="P164" t="str">
            <v>JESUS</v>
          </cell>
          <cell r="Q164">
            <v>46070</v>
          </cell>
          <cell r="R164" t="str">
            <v>COTIZACION</v>
          </cell>
        </row>
        <row r="165">
          <cell r="A165" t="str">
            <v>75/2026</v>
          </cell>
          <cell r="B165">
            <v>75</v>
          </cell>
          <cell r="C165" t="str">
            <v>SUBROGACION</v>
          </cell>
          <cell r="D165">
            <v>46070</v>
          </cell>
          <cell r="E165" t="str">
            <v>ORTOPEDIA Y TRAUMA</v>
          </cell>
          <cell r="F165" t="str">
            <v>N/A</v>
          </cell>
          <cell r="G165">
            <v>3992100001</v>
          </cell>
          <cell r="H165" t="str">
            <v>RENTA DE MINI SIERRA</v>
          </cell>
          <cell r="I165">
            <v>1</v>
          </cell>
          <cell r="J165" t="str">
            <v>SERVICIO</v>
          </cell>
          <cell r="K165">
            <v>3992</v>
          </cell>
          <cell r="L165" t="str">
            <v>RUIZ RAMOS ANA LUISA</v>
          </cell>
          <cell r="M165">
            <v>980654</v>
          </cell>
          <cell r="N165" t="str">
            <v>RUIZ RAMOS ANA LUISA</v>
          </cell>
          <cell r="O165">
            <v>7038206</v>
          </cell>
          <cell r="P165" t="str">
            <v>JESUS</v>
          </cell>
          <cell r="Q165">
            <v>46070</v>
          </cell>
          <cell r="R165" t="str">
            <v>RECURSOS FINANCIEROS</v>
          </cell>
          <cell r="T165" t="str">
            <v>597/2026</v>
          </cell>
          <cell r="U165">
            <v>46087</v>
          </cell>
          <cell r="V165">
            <v>1500</v>
          </cell>
          <cell r="W165">
            <v>1500</v>
          </cell>
          <cell r="X165">
            <v>240</v>
          </cell>
          <cell r="Y165">
            <v>1740</v>
          </cell>
          <cell r="Z165">
            <v>11</v>
          </cell>
          <cell r="AA165">
            <v>46090</v>
          </cell>
          <cell r="AB165">
            <v>46091</v>
          </cell>
          <cell r="AC165">
            <v>8</v>
          </cell>
          <cell r="AD165" t="str">
            <v>N/A</v>
          </cell>
          <cell r="AE165" t="str">
            <v>N/A</v>
          </cell>
          <cell r="AF165" t="str">
            <v>N/A</v>
          </cell>
          <cell r="AG165" t="str">
            <v>ARTURO GUTIERREZ JAQUEZ</v>
          </cell>
        </row>
        <row r="166">
          <cell r="A166" t="str">
            <v>75/2026</v>
          </cell>
          <cell r="B166">
            <v>75</v>
          </cell>
          <cell r="C166" t="str">
            <v>SUBROGACION</v>
          </cell>
          <cell r="D166">
            <v>46070</v>
          </cell>
          <cell r="E166" t="str">
            <v>ORTOPEDIA Y TRAUMA</v>
          </cell>
          <cell r="F166" t="str">
            <v>N/A</v>
          </cell>
          <cell r="G166">
            <v>3992100001</v>
          </cell>
          <cell r="H166" t="str">
            <v>ANCLA JUGGERKNOT</v>
          </cell>
          <cell r="I166">
            <v>1</v>
          </cell>
          <cell r="J166" t="str">
            <v>PIEZA</v>
          </cell>
          <cell r="K166">
            <v>3992</v>
          </cell>
          <cell r="L166" t="str">
            <v>RUIZ RAMOS ANA LUISA</v>
          </cell>
          <cell r="M166">
            <v>980654</v>
          </cell>
          <cell r="N166" t="str">
            <v>RUIZ RAMOS ANA LUISA</v>
          </cell>
          <cell r="O166">
            <v>7038206</v>
          </cell>
          <cell r="P166" t="str">
            <v>JESUS</v>
          </cell>
          <cell r="Q166">
            <v>46070</v>
          </cell>
          <cell r="R166" t="str">
            <v>RECURSOS FINANCIEROS</v>
          </cell>
          <cell r="T166" t="str">
            <v>597/2026</v>
          </cell>
          <cell r="U166">
            <v>46087</v>
          </cell>
          <cell r="V166">
            <v>10000</v>
          </cell>
          <cell r="W166">
            <v>10000</v>
          </cell>
          <cell r="X166">
            <v>1600</v>
          </cell>
          <cell r="Y166">
            <v>11600</v>
          </cell>
          <cell r="Z166">
            <v>11</v>
          </cell>
          <cell r="AA166">
            <v>46090</v>
          </cell>
          <cell r="AB166">
            <v>46091</v>
          </cell>
          <cell r="AC166">
            <v>8</v>
          </cell>
          <cell r="AD166" t="str">
            <v>N/A</v>
          </cell>
          <cell r="AE166" t="str">
            <v>N/A</v>
          </cell>
          <cell r="AF166" t="str">
            <v>N/A</v>
          </cell>
          <cell r="AG166" t="str">
            <v>ARTURO GUTIERANZ JAQUEZ</v>
          </cell>
        </row>
        <row r="167">
          <cell r="A167" t="str">
            <v>76/2026</v>
          </cell>
          <cell r="B167">
            <v>76</v>
          </cell>
          <cell r="C167" t="str">
            <v>REEMBOLSO</v>
          </cell>
          <cell r="D167">
            <v>46070</v>
          </cell>
          <cell r="E167" t="str">
            <v>ORTOPEDIA Y TRAUMA</v>
          </cell>
          <cell r="F167" t="str">
            <v>N/A</v>
          </cell>
          <cell r="G167">
            <v>3992100001</v>
          </cell>
          <cell r="H167" t="str">
            <v>RENTA DE ARTROSCOPIO</v>
          </cell>
          <cell r="I167">
            <v>1</v>
          </cell>
          <cell r="J167" t="str">
            <v>SERVICIO</v>
          </cell>
          <cell r="K167">
            <v>3992</v>
          </cell>
          <cell r="L167" t="str">
            <v>CHRISTIAN MAYELA MARTINEZ BERNAL</v>
          </cell>
          <cell r="M167">
            <v>2021236</v>
          </cell>
          <cell r="N167" t="str">
            <v>JULIA MARGARITA BERNAL OROZCO</v>
          </cell>
          <cell r="O167">
            <v>13067615</v>
          </cell>
          <cell r="P167" t="str">
            <v>JESUS</v>
          </cell>
          <cell r="Q167">
            <v>46070</v>
          </cell>
          <cell r="R167" t="str">
            <v>RECURSOS FINANCIEROS</v>
          </cell>
          <cell r="T167" t="str">
            <v>503/2026</v>
          </cell>
          <cell r="U167">
            <v>46069</v>
          </cell>
          <cell r="V167">
            <v>3500</v>
          </cell>
          <cell r="W167">
            <v>3500</v>
          </cell>
          <cell r="X167">
            <v>560</v>
          </cell>
          <cell r="Y167">
            <v>4060</v>
          </cell>
          <cell r="Z167">
            <v>6</v>
          </cell>
          <cell r="AA167">
            <v>46080</v>
          </cell>
          <cell r="AB167">
            <v>46084</v>
          </cell>
          <cell r="AC167">
            <v>5</v>
          </cell>
          <cell r="AD167" t="str">
            <v>N/A</v>
          </cell>
          <cell r="AE167" t="str">
            <v>N/A</v>
          </cell>
          <cell r="AF167" t="str">
            <v>N/A</v>
          </cell>
          <cell r="AG167" t="str">
            <v>ARTRHOSPORT</v>
          </cell>
          <cell r="AH167" t="str">
            <v>N/A</v>
          </cell>
          <cell r="AI167" t="str">
            <v>N/A</v>
          </cell>
          <cell r="AJ167">
            <v>3138</v>
          </cell>
          <cell r="AK167">
            <v>46069</v>
          </cell>
          <cell r="AL167">
            <v>46090</v>
          </cell>
        </row>
        <row r="168">
          <cell r="A168" t="str">
            <v>76/2026</v>
          </cell>
          <cell r="B168">
            <v>76</v>
          </cell>
          <cell r="C168" t="str">
            <v>REEMBOLSO</v>
          </cell>
          <cell r="D168">
            <v>46070</v>
          </cell>
          <cell r="E168" t="str">
            <v>ORTOPEDIA Y TRAUMA</v>
          </cell>
          <cell r="F168" t="str">
            <v>N/A</v>
          </cell>
          <cell r="G168">
            <v>3992100001</v>
          </cell>
          <cell r="H168" t="str">
            <v>ANCLA 4.75 MM CON TRIPLE SUTURA</v>
          </cell>
          <cell r="I168">
            <v>1</v>
          </cell>
          <cell r="J168" t="str">
            <v>PIEZA</v>
          </cell>
          <cell r="K168">
            <v>3992</v>
          </cell>
          <cell r="L168" t="str">
            <v>CHRISTIAN MAYELA MARTINEZ BERNAL</v>
          </cell>
          <cell r="M168">
            <v>2021236</v>
          </cell>
          <cell r="N168" t="str">
            <v>JULIA MARGARITA BERNAL OROZCO</v>
          </cell>
          <cell r="O168">
            <v>13067615</v>
          </cell>
          <cell r="P168" t="str">
            <v>JESUS</v>
          </cell>
          <cell r="Q168">
            <v>46070</v>
          </cell>
          <cell r="R168" t="str">
            <v>RECURSOS FINANCIEROS</v>
          </cell>
          <cell r="T168" t="str">
            <v>503/2026</v>
          </cell>
          <cell r="U168">
            <v>46069</v>
          </cell>
          <cell r="V168">
            <v>11644.2</v>
          </cell>
          <cell r="W168">
            <v>11644.2</v>
          </cell>
          <cell r="X168">
            <v>1863.0720000000001</v>
          </cell>
          <cell r="Y168">
            <v>13507.272000000001</v>
          </cell>
          <cell r="Z168">
            <v>6</v>
          </cell>
          <cell r="AA168">
            <v>46080</v>
          </cell>
          <cell r="AB168">
            <v>46084</v>
          </cell>
          <cell r="AC168">
            <v>5</v>
          </cell>
          <cell r="AD168" t="str">
            <v>N/A</v>
          </cell>
          <cell r="AE168" t="str">
            <v>N/A</v>
          </cell>
          <cell r="AF168" t="str">
            <v>N/A</v>
          </cell>
          <cell r="AG168" t="str">
            <v>ARTRHOSPORT</v>
          </cell>
          <cell r="AH168" t="str">
            <v>N/A</v>
          </cell>
          <cell r="AI168" t="str">
            <v>N/A</v>
          </cell>
          <cell r="AJ168">
            <v>3138</v>
          </cell>
          <cell r="AK168">
            <v>46069</v>
          </cell>
          <cell r="AL168">
            <v>46090</v>
          </cell>
        </row>
        <row r="169">
          <cell r="A169" t="str">
            <v>76/2026</v>
          </cell>
          <cell r="B169">
            <v>76</v>
          </cell>
          <cell r="C169" t="str">
            <v>REEMBOLSO</v>
          </cell>
          <cell r="D169">
            <v>46070</v>
          </cell>
          <cell r="E169" t="str">
            <v>ORTOPEDIA Y TRAUMA</v>
          </cell>
          <cell r="F169" t="str">
            <v>N/A</v>
          </cell>
          <cell r="G169">
            <v>3992100001</v>
          </cell>
          <cell r="H169" t="str">
            <v>PERFORADOR ESTERIL</v>
          </cell>
          <cell r="I169">
            <v>1</v>
          </cell>
          <cell r="J169" t="str">
            <v>SERVICIO</v>
          </cell>
          <cell r="K169">
            <v>3992</v>
          </cell>
          <cell r="L169" t="str">
            <v>CHRISTIAN MAYELA MARTINEZ BERNAL</v>
          </cell>
          <cell r="M169">
            <v>2021236</v>
          </cell>
          <cell r="N169" t="str">
            <v>JULIA MARGARITA BERNAL OROZCO</v>
          </cell>
          <cell r="O169">
            <v>13067615</v>
          </cell>
          <cell r="P169" t="str">
            <v>JESUS</v>
          </cell>
          <cell r="Q169">
            <v>46070</v>
          </cell>
          <cell r="R169" t="str">
            <v>RECURSOS FINANCIEROS</v>
          </cell>
          <cell r="T169" t="str">
            <v>503/2026</v>
          </cell>
          <cell r="U169">
            <v>46069</v>
          </cell>
          <cell r="V169">
            <v>0</v>
          </cell>
          <cell r="W169">
            <v>0</v>
          </cell>
          <cell r="X169">
            <v>0</v>
          </cell>
          <cell r="Y169">
            <v>0</v>
          </cell>
          <cell r="Z169">
            <v>6</v>
          </cell>
          <cell r="AA169">
            <v>46080</v>
          </cell>
          <cell r="AB169">
            <v>46084</v>
          </cell>
          <cell r="AC169">
            <v>5</v>
          </cell>
          <cell r="AD169" t="str">
            <v>N/A</v>
          </cell>
          <cell r="AE169" t="str">
            <v>N/A</v>
          </cell>
          <cell r="AF169" t="str">
            <v>N/A</v>
          </cell>
          <cell r="AG169" t="str">
            <v>ARTRHOSPORT</v>
          </cell>
          <cell r="AH169" t="str">
            <v>N/A</v>
          </cell>
          <cell r="AI169" t="str">
            <v>N/A</v>
          </cell>
          <cell r="AJ169">
            <v>3138</v>
          </cell>
          <cell r="AK169">
            <v>46069</v>
          </cell>
          <cell r="AL169">
            <v>46090</v>
          </cell>
        </row>
        <row r="170">
          <cell r="A170" t="str">
            <v>76/2026</v>
          </cell>
          <cell r="B170">
            <v>76</v>
          </cell>
          <cell r="C170" t="str">
            <v>REEMBOLSO</v>
          </cell>
          <cell r="D170">
            <v>46070</v>
          </cell>
          <cell r="E170" t="str">
            <v>ORTOPEDIA Y TRAUMA</v>
          </cell>
          <cell r="F170" t="str">
            <v>N/A</v>
          </cell>
          <cell r="G170">
            <v>3992100001</v>
          </cell>
          <cell r="H170" t="str">
            <v>BROCAS</v>
          </cell>
          <cell r="I170">
            <v>1</v>
          </cell>
          <cell r="J170" t="str">
            <v>SERVICIO</v>
          </cell>
          <cell r="K170">
            <v>3992</v>
          </cell>
          <cell r="L170" t="str">
            <v>CHRISTIAN MAYELA MARTINEZ BERNAL</v>
          </cell>
          <cell r="M170">
            <v>2021236</v>
          </cell>
          <cell r="N170" t="str">
            <v>JULIA MARGARITA BERNAL OROZCO</v>
          </cell>
          <cell r="O170">
            <v>13067615</v>
          </cell>
          <cell r="P170" t="str">
            <v>JESUS</v>
          </cell>
          <cell r="Q170">
            <v>46070</v>
          </cell>
          <cell r="R170" t="str">
            <v>RECURSOS FINANCIEROS</v>
          </cell>
          <cell r="T170" t="str">
            <v>503/2026</v>
          </cell>
          <cell r="U170">
            <v>46069</v>
          </cell>
          <cell r="V170">
            <v>0</v>
          </cell>
          <cell r="W170">
            <v>0</v>
          </cell>
          <cell r="X170">
            <v>0</v>
          </cell>
          <cell r="Y170">
            <v>0</v>
          </cell>
          <cell r="Z170">
            <v>6</v>
          </cell>
          <cell r="AA170">
            <v>46080</v>
          </cell>
          <cell r="AB170">
            <v>46084</v>
          </cell>
          <cell r="AC170">
            <v>5</v>
          </cell>
          <cell r="AD170" t="str">
            <v>N/A</v>
          </cell>
          <cell r="AE170" t="str">
            <v>N/A</v>
          </cell>
          <cell r="AF170" t="str">
            <v>N/A</v>
          </cell>
          <cell r="AG170" t="str">
            <v>ARTRHOSPORT</v>
          </cell>
          <cell r="AH170" t="str">
            <v>N/A</v>
          </cell>
          <cell r="AI170" t="str">
            <v>N/A</v>
          </cell>
          <cell r="AJ170">
            <v>3138</v>
          </cell>
          <cell r="AK170">
            <v>46069</v>
          </cell>
          <cell r="AL170">
            <v>46090</v>
          </cell>
        </row>
        <row r="171">
          <cell r="A171" t="str">
            <v>77/2026</v>
          </cell>
          <cell r="B171">
            <v>77</v>
          </cell>
          <cell r="C171" t="str">
            <v>SUBROGACION</v>
          </cell>
          <cell r="D171">
            <v>46070</v>
          </cell>
          <cell r="E171" t="str">
            <v>NEFROLOGIA Y TRANSPLANTE</v>
          </cell>
          <cell r="F171" t="str">
            <v>N/A</v>
          </cell>
          <cell r="G171">
            <v>3992100001</v>
          </cell>
          <cell r="H171" t="str">
            <v>ACIDO MICOFENOLICO 360 MG GRAGEA</v>
          </cell>
          <cell r="I171">
            <v>3</v>
          </cell>
          <cell r="J171" t="str">
            <v>CAJA</v>
          </cell>
          <cell r="K171">
            <v>3992</v>
          </cell>
          <cell r="L171" t="str">
            <v>RODRIGUEZ ORTIZ RAUL DANIEL</v>
          </cell>
          <cell r="M171">
            <v>2018824</v>
          </cell>
          <cell r="N171" t="str">
            <v>RODRIGUEZ ORTIZ RAUL DANIEL</v>
          </cell>
          <cell r="O171">
            <v>19022397</v>
          </cell>
          <cell r="P171" t="str">
            <v>JESUS</v>
          </cell>
          <cell r="Q171">
            <v>46070</v>
          </cell>
          <cell r="R171" t="str">
            <v>COTIZACION</v>
          </cell>
        </row>
        <row r="172">
          <cell r="A172" t="str">
            <v>78/2026</v>
          </cell>
          <cell r="B172">
            <v>78</v>
          </cell>
          <cell r="C172" t="str">
            <v>SUBROGACION</v>
          </cell>
          <cell r="D172">
            <v>46070</v>
          </cell>
          <cell r="E172" t="str">
            <v>ARTROSCOPIO</v>
          </cell>
          <cell r="F172" t="str">
            <v>N/A</v>
          </cell>
          <cell r="G172">
            <v>3992100001</v>
          </cell>
          <cell r="H172" t="str">
            <v>RENTA DE ARTROSCOPIO</v>
          </cell>
          <cell r="I172">
            <v>1</v>
          </cell>
          <cell r="J172" t="str">
            <v>SERVICIO</v>
          </cell>
          <cell r="K172">
            <v>3992</v>
          </cell>
          <cell r="L172" t="str">
            <v>EDGAR ISRAEL FLORES DOMINGUEZ</v>
          </cell>
          <cell r="M172">
            <v>2018511</v>
          </cell>
          <cell r="N172" t="str">
            <v>EDGAR ISRAEL FLORES DOMINGUEZ</v>
          </cell>
          <cell r="O172">
            <v>19102314</v>
          </cell>
          <cell r="P172" t="str">
            <v>JESUS</v>
          </cell>
          <cell r="Q172">
            <v>46070</v>
          </cell>
          <cell r="R172" t="str">
            <v>RECURSOS FINANCIEROS</v>
          </cell>
          <cell r="T172" t="str">
            <v>627/2026</v>
          </cell>
          <cell r="U172">
            <v>46091</v>
          </cell>
          <cell r="V172">
            <v>4500</v>
          </cell>
          <cell r="W172">
            <v>4500</v>
          </cell>
          <cell r="X172">
            <v>720</v>
          </cell>
          <cell r="Y172">
            <v>5220</v>
          </cell>
          <cell r="Z172">
            <v>13</v>
          </cell>
          <cell r="AA172">
            <v>46093</v>
          </cell>
          <cell r="AB172">
            <v>46099</v>
          </cell>
          <cell r="AC172">
            <v>10</v>
          </cell>
        </row>
        <row r="173">
          <cell r="A173" t="str">
            <v>78/2026</v>
          </cell>
          <cell r="B173">
            <v>78</v>
          </cell>
          <cell r="C173" t="str">
            <v>SUBROGACION</v>
          </cell>
          <cell r="D173">
            <v>46070</v>
          </cell>
          <cell r="E173" t="str">
            <v>ARTROSCOPIO</v>
          </cell>
          <cell r="F173" t="str">
            <v>N/A</v>
          </cell>
          <cell r="G173">
            <v>3992100001</v>
          </cell>
          <cell r="H173" t="str">
            <v>SET DE MENISCOS CON PINZAS</v>
          </cell>
          <cell r="I173">
            <v>1</v>
          </cell>
          <cell r="J173" t="str">
            <v>SERVICIO</v>
          </cell>
          <cell r="K173">
            <v>3992</v>
          </cell>
          <cell r="L173" t="str">
            <v>EDGAR ISRAEL FLORES DOMINGUEZ</v>
          </cell>
          <cell r="M173">
            <v>2018511</v>
          </cell>
          <cell r="N173" t="str">
            <v>EDGAR ISRAEL FLORES DOMINGUEZ</v>
          </cell>
          <cell r="O173">
            <v>19102314</v>
          </cell>
          <cell r="P173" t="str">
            <v>JESUS</v>
          </cell>
          <cell r="Q173">
            <v>46070</v>
          </cell>
          <cell r="R173" t="str">
            <v>RECURSOS FINANCIEROS</v>
          </cell>
          <cell r="T173" t="str">
            <v>627/2026</v>
          </cell>
          <cell r="U173">
            <v>46091</v>
          </cell>
          <cell r="V173">
            <v>0</v>
          </cell>
          <cell r="W173">
            <v>0</v>
          </cell>
          <cell r="X173">
            <v>0</v>
          </cell>
          <cell r="Y173">
            <v>0</v>
          </cell>
          <cell r="Z173">
            <v>13</v>
          </cell>
          <cell r="AA173">
            <v>46093</v>
          </cell>
          <cell r="AB173">
            <v>46099</v>
          </cell>
          <cell r="AC173">
            <v>10</v>
          </cell>
        </row>
        <row r="174">
          <cell r="A174" t="str">
            <v>78/2026</v>
          </cell>
          <cell r="B174">
            <v>78</v>
          </cell>
          <cell r="C174" t="str">
            <v>SUBROGACION</v>
          </cell>
          <cell r="D174">
            <v>46070</v>
          </cell>
          <cell r="E174" t="str">
            <v>ARTROSCOPIO</v>
          </cell>
          <cell r="F174" t="str">
            <v>N/A</v>
          </cell>
          <cell r="G174">
            <v>3992100001</v>
          </cell>
          <cell r="H174" t="str">
            <v>SUTURA ALL INSIDE</v>
          </cell>
          <cell r="I174">
            <v>2</v>
          </cell>
          <cell r="J174" t="str">
            <v>PIEZA</v>
          </cell>
          <cell r="K174">
            <v>3992</v>
          </cell>
          <cell r="L174" t="str">
            <v>EDGAR ISRAEL FLORES DOMINGUEZ</v>
          </cell>
          <cell r="M174">
            <v>2018511</v>
          </cell>
          <cell r="N174" t="str">
            <v>EDGAR ISRAEL FLORES DOMINGUEZ</v>
          </cell>
          <cell r="O174">
            <v>19102314</v>
          </cell>
          <cell r="P174" t="str">
            <v>JESUS</v>
          </cell>
          <cell r="Q174">
            <v>46070</v>
          </cell>
          <cell r="R174" t="str">
            <v>RECURSOS FINANCIEROS</v>
          </cell>
          <cell r="T174" t="str">
            <v>627/2026</v>
          </cell>
          <cell r="U174">
            <v>46091</v>
          </cell>
          <cell r="V174">
            <v>8500</v>
          </cell>
          <cell r="W174">
            <v>17000</v>
          </cell>
          <cell r="X174">
            <v>2720</v>
          </cell>
          <cell r="Y174">
            <v>19720</v>
          </cell>
          <cell r="Z174">
            <v>13</v>
          </cell>
          <cell r="AA174">
            <v>46093</v>
          </cell>
          <cell r="AB174">
            <v>46099</v>
          </cell>
          <cell r="AC174">
            <v>10</v>
          </cell>
        </row>
        <row r="175">
          <cell r="A175" t="str">
            <v>78/2026</v>
          </cell>
          <cell r="B175">
            <v>78</v>
          </cell>
          <cell r="C175" t="str">
            <v>SUBROGACION</v>
          </cell>
          <cell r="D175">
            <v>46070</v>
          </cell>
          <cell r="E175" t="str">
            <v>ARTROSCOPIO</v>
          </cell>
          <cell r="F175" t="str">
            <v>N/A</v>
          </cell>
          <cell r="G175">
            <v>3992100001</v>
          </cell>
          <cell r="H175" t="str">
            <v>MENISCAL PROTEC</v>
          </cell>
          <cell r="I175">
            <v>1</v>
          </cell>
          <cell r="J175" t="str">
            <v>PIEZA</v>
          </cell>
          <cell r="K175">
            <v>3992</v>
          </cell>
          <cell r="L175" t="str">
            <v>EDGAR ISRAEL FLORES DOMINGUEZ</v>
          </cell>
          <cell r="M175">
            <v>2018511</v>
          </cell>
          <cell r="N175" t="str">
            <v>EDGAR ISRAEL FLORES DOMINGUEZ</v>
          </cell>
          <cell r="O175">
            <v>19102314</v>
          </cell>
          <cell r="P175" t="str">
            <v>JESUS</v>
          </cell>
          <cell r="Q175">
            <v>46070</v>
          </cell>
          <cell r="R175" t="str">
            <v>RECURSOS FINANCIEROS</v>
          </cell>
          <cell r="T175" t="str">
            <v>627/2026</v>
          </cell>
          <cell r="U175">
            <v>46091</v>
          </cell>
          <cell r="V175">
            <v>0</v>
          </cell>
          <cell r="W175">
            <v>0</v>
          </cell>
          <cell r="X175">
            <v>0</v>
          </cell>
          <cell r="Y175">
            <v>0</v>
          </cell>
          <cell r="Z175">
            <v>13</v>
          </cell>
          <cell r="AA175">
            <v>46093</v>
          </cell>
          <cell r="AB175">
            <v>46099</v>
          </cell>
          <cell r="AC175">
            <v>10</v>
          </cell>
        </row>
        <row r="176">
          <cell r="A176" t="str">
            <v>79/2026</v>
          </cell>
          <cell r="B176">
            <v>79</v>
          </cell>
          <cell r="C176" t="str">
            <v>COMPRA POR FONDO</v>
          </cell>
          <cell r="D176">
            <v>46066</v>
          </cell>
          <cell r="E176" t="str">
            <v>RADIOLOGIA E IMAGEN</v>
          </cell>
          <cell r="F176" t="str">
            <v>RX/AHCGFAA/038/2026</v>
          </cell>
          <cell r="H176" t="str">
            <v>Sonda Foley de 8 Fr.</v>
          </cell>
          <cell r="I176">
            <v>120</v>
          </cell>
          <cell r="J176" t="str">
            <v>PIEZA</v>
          </cell>
          <cell r="K176">
            <v>2541</v>
          </cell>
          <cell r="L176" t="str">
            <v>N/A</v>
          </cell>
          <cell r="M176" t="str">
            <v>N/A</v>
          </cell>
          <cell r="N176" t="str">
            <v>N/A</v>
          </cell>
          <cell r="O176" t="str">
            <v>N/A</v>
          </cell>
          <cell r="P176" t="str">
            <v>JESUS</v>
          </cell>
          <cell r="Q176">
            <v>46066</v>
          </cell>
          <cell r="R176" t="str">
            <v>COTIZACION</v>
          </cell>
        </row>
        <row r="177">
          <cell r="A177" t="str">
            <v>80/2026</v>
          </cell>
          <cell r="B177">
            <v>80</v>
          </cell>
          <cell r="C177" t="str">
            <v>REEMBOLSO</v>
          </cell>
          <cell r="D177">
            <v>46071</v>
          </cell>
          <cell r="E177" t="str">
            <v>UROLOGIA</v>
          </cell>
          <cell r="F177" t="str">
            <v>N/A</v>
          </cell>
          <cell r="G177">
            <v>3992100001</v>
          </cell>
          <cell r="H177" t="str">
            <v>GRAMMAGRAMA OSEO</v>
          </cell>
          <cell r="I177">
            <v>1</v>
          </cell>
          <cell r="J177" t="str">
            <v>SERVICIO</v>
          </cell>
          <cell r="K177">
            <v>3992</v>
          </cell>
          <cell r="L177" t="str">
            <v>CELIA PALOMINO MOYA</v>
          </cell>
          <cell r="M177">
            <v>981396</v>
          </cell>
          <cell r="N177" t="str">
            <v>J. GUADALUPE PALOMINO OLVERA</v>
          </cell>
          <cell r="O177">
            <v>6056799</v>
          </cell>
          <cell r="P177" t="str">
            <v>JESUS</v>
          </cell>
          <cell r="Q177">
            <v>46071</v>
          </cell>
          <cell r="R177" t="str">
            <v>COTIZACION</v>
          </cell>
          <cell r="T177" t="str">
            <v>694/2026</v>
          </cell>
          <cell r="U177">
            <v>46101</v>
          </cell>
          <cell r="V177">
            <v>2542.2399999999998</v>
          </cell>
          <cell r="W177">
            <v>2542.2399999999998</v>
          </cell>
          <cell r="X177">
            <v>406.75839999999999</v>
          </cell>
          <cell r="Y177">
            <v>2948.9983999999999</v>
          </cell>
          <cell r="AD177" t="str">
            <v>N/A</v>
          </cell>
          <cell r="AE177" t="str">
            <v>N/A</v>
          </cell>
          <cell r="AF177" t="str">
            <v>N/A</v>
          </cell>
          <cell r="AG177" t="str">
            <v>SERVICIOS IMAGENIOLOGICOS DE OCCIDENTE</v>
          </cell>
          <cell r="AH177" t="str">
            <v>N/A</v>
          </cell>
          <cell r="AI177" t="str">
            <v>N/A</v>
          </cell>
          <cell r="AJ177">
            <v>557073</v>
          </cell>
          <cell r="AK177">
            <v>46060</v>
          </cell>
        </row>
        <row r="178">
          <cell r="A178" t="str">
            <v>81/2026</v>
          </cell>
          <cell r="B178">
            <v>81</v>
          </cell>
          <cell r="C178" t="str">
            <v>COMPRA POR FONDO</v>
          </cell>
          <cell r="D178">
            <v>46070</v>
          </cell>
          <cell r="E178" t="str">
            <v>GASTROENTEROLOGIA</v>
          </cell>
          <cell r="F178" t="str">
            <v>FSSADTP/227/2026</v>
          </cell>
          <cell r="G178">
            <v>2531540002</v>
          </cell>
          <cell r="H178" t="str">
            <v>010.000.4188.00 PANCREATINA. CÁPSULA O GRAGEA CON CAPA ENTÉRICA. CADA CÁPSULA O GRAGEA CONTIENE PANCREATINA 300 MG LIPASA. PROTEASA. AMILASA. ENVASE CON 30 CÁPSULAS O GRAGEAS CON CAPA ENTÉRICA.</v>
          </cell>
          <cell r="J178" t="str">
            <v>FRASCO</v>
          </cell>
          <cell r="K178">
            <v>2531</v>
          </cell>
          <cell r="L178" t="str">
            <v>N/A</v>
          </cell>
          <cell r="M178" t="str">
            <v>N/A</v>
          </cell>
          <cell r="N178" t="str">
            <v>N/A</v>
          </cell>
          <cell r="O178" t="str">
            <v>N/A</v>
          </cell>
          <cell r="P178" t="str">
            <v>BRENDA</v>
          </cell>
          <cell r="Q178">
            <v>46070</v>
          </cell>
          <cell r="R178" t="str">
            <v>CANCELADO</v>
          </cell>
          <cell r="S178" t="str">
            <v xml:space="preserve">CODIGO INACTIVO </v>
          </cell>
        </row>
        <row r="179">
          <cell r="A179" t="str">
            <v>82/2026</v>
          </cell>
          <cell r="B179">
            <v>82</v>
          </cell>
          <cell r="C179" t="str">
            <v>SUBROGACION</v>
          </cell>
          <cell r="D179">
            <v>46072</v>
          </cell>
          <cell r="E179" t="str">
            <v>ORTOPEDIA Y TRAUMA</v>
          </cell>
          <cell r="F179" t="str">
            <v>N/A</v>
          </cell>
          <cell r="G179">
            <v>3992100001</v>
          </cell>
          <cell r="H179" t="str">
            <v>RENTA DE ARTROSCOPIO CON LENTE 2.7 MM DE MUÑECA</v>
          </cell>
          <cell r="I179">
            <v>1</v>
          </cell>
          <cell r="J179" t="str">
            <v>SERVICIO</v>
          </cell>
          <cell r="K179">
            <v>3992</v>
          </cell>
          <cell r="L179" t="str">
            <v>FLORENTINO SEDANO GAMEZ</v>
          </cell>
          <cell r="M179">
            <v>2023441</v>
          </cell>
          <cell r="N179" t="str">
            <v>FLORENTINO SEDANO GAMEZ</v>
          </cell>
          <cell r="O179">
            <v>24007562</v>
          </cell>
          <cell r="P179" t="str">
            <v>JESUS</v>
          </cell>
          <cell r="Q179">
            <v>46072</v>
          </cell>
          <cell r="R179" t="str">
            <v>RECURSOS FINANCIEROS</v>
          </cell>
          <cell r="T179" t="str">
            <v>631/2026</v>
          </cell>
          <cell r="U179">
            <v>46092</v>
          </cell>
          <cell r="V179">
            <v>4000</v>
          </cell>
          <cell r="W179">
            <v>4000</v>
          </cell>
          <cell r="X179">
            <v>640</v>
          </cell>
          <cell r="Y179">
            <v>4640</v>
          </cell>
          <cell r="Z179">
            <v>13</v>
          </cell>
          <cell r="AA179">
            <v>46093</v>
          </cell>
          <cell r="AB179">
            <v>46100</v>
          </cell>
          <cell r="AC179">
            <v>11</v>
          </cell>
          <cell r="AD179" t="str">
            <v>N/A</v>
          </cell>
          <cell r="AE179" t="str">
            <v>CARTA COMPROMISO</v>
          </cell>
          <cell r="AF179" t="str">
            <v>N/A</v>
          </cell>
          <cell r="AG179" t="str">
            <v>ARTURO GUTIERREZ JAQUEZ</v>
          </cell>
        </row>
        <row r="180">
          <cell r="A180" t="str">
            <v>82/2026</v>
          </cell>
          <cell r="B180">
            <v>82</v>
          </cell>
          <cell r="C180" t="str">
            <v>SUBROGACION</v>
          </cell>
          <cell r="D180">
            <v>46072</v>
          </cell>
          <cell r="E180" t="str">
            <v>ORTOPEDIA Y TRAUMA</v>
          </cell>
          <cell r="F180" t="str">
            <v>N/A</v>
          </cell>
          <cell r="G180">
            <v>3992100001</v>
          </cell>
          <cell r="H180" t="str">
            <v>RENTA DE SPIDER Y CONTRASPIDER</v>
          </cell>
          <cell r="I180">
            <v>1</v>
          </cell>
          <cell r="J180" t="str">
            <v>SERVICIO</v>
          </cell>
          <cell r="K180">
            <v>3992</v>
          </cell>
          <cell r="L180" t="str">
            <v>FLORENTINO SEDANO GAMEZ</v>
          </cell>
          <cell r="M180">
            <v>2023441</v>
          </cell>
          <cell r="N180" t="str">
            <v>FLORENTINO SEDANO GAMEZ</v>
          </cell>
          <cell r="O180">
            <v>24007562</v>
          </cell>
          <cell r="P180" t="str">
            <v>JESUS</v>
          </cell>
          <cell r="Q180">
            <v>46072</v>
          </cell>
          <cell r="R180" t="str">
            <v>RECURSOS FINANCIEROS</v>
          </cell>
          <cell r="T180" t="str">
            <v>631/2026</v>
          </cell>
          <cell r="U180">
            <v>46092</v>
          </cell>
          <cell r="V180">
            <v>2500</v>
          </cell>
          <cell r="W180">
            <v>2500</v>
          </cell>
          <cell r="X180">
            <v>400</v>
          </cell>
          <cell r="Y180">
            <v>2900</v>
          </cell>
          <cell r="Z180">
            <v>13</v>
          </cell>
          <cell r="AA180">
            <v>46093</v>
          </cell>
          <cell r="AB180">
            <v>46100</v>
          </cell>
          <cell r="AC180">
            <v>11</v>
          </cell>
          <cell r="AD180" t="str">
            <v>N/A</v>
          </cell>
          <cell r="AE180" t="str">
            <v>CARTA COMPROMISO</v>
          </cell>
          <cell r="AF180" t="str">
            <v>N/A</v>
          </cell>
          <cell r="AG180" t="str">
            <v>ARTURO GUTIERREZ JAQUEZ</v>
          </cell>
        </row>
        <row r="181">
          <cell r="A181" t="str">
            <v>82/2026</v>
          </cell>
          <cell r="B181">
            <v>82</v>
          </cell>
          <cell r="C181" t="str">
            <v>SUBROGACION</v>
          </cell>
          <cell r="D181">
            <v>46072</v>
          </cell>
          <cell r="E181" t="str">
            <v>ORTOPEDIA Y TRAUMA</v>
          </cell>
          <cell r="F181" t="str">
            <v>N/A</v>
          </cell>
          <cell r="G181">
            <v>3992100001</v>
          </cell>
          <cell r="H181" t="str">
            <v>RENTA DE KIDE</v>
          </cell>
          <cell r="I181">
            <v>1</v>
          </cell>
          <cell r="J181" t="str">
            <v>SERVICIO</v>
          </cell>
          <cell r="K181">
            <v>3992</v>
          </cell>
          <cell r="L181" t="str">
            <v>FLORENTINO SEDANO GAMEZ</v>
          </cell>
          <cell r="M181">
            <v>2023441</v>
          </cell>
          <cell r="N181" t="str">
            <v>FLORENTINO SEDANO GAMEZ</v>
          </cell>
          <cell r="O181">
            <v>24007562</v>
          </cell>
          <cell r="P181" t="str">
            <v>JESUS</v>
          </cell>
          <cell r="Q181">
            <v>46072</v>
          </cell>
          <cell r="R181" t="str">
            <v>RECURSOS FINANCIEROS</v>
          </cell>
          <cell r="T181" t="str">
            <v>631/2026</v>
          </cell>
          <cell r="U181">
            <v>46092</v>
          </cell>
          <cell r="V181">
            <v>0</v>
          </cell>
          <cell r="W181">
            <v>0</v>
          </cell>
          <cell r="X181">
            <v>0</v>
          </cell>
          <cell r="Y181">
            <v>0</v>
          </cell>
          <cell r="Z181">
            <v>13</v>
          </cell>
          <cell r="AA181">
            <v>46093</v>
          </cell>
          <cell r="AB181">
            <v>46100</v>
          </cell>
          <cell r="AC181">
            <v>11</v>
          </cell>
          <cell r="AD181" t="str">
            <v>N/A</v>
          </cell>
          <cell r="AE181" t="str">
            <v>CARTA COMPROMISO</v>
          </cell>
          <cell r="AF181" t="str">
            <v>N/A</v>
          </cell>
          <cell r="AG181" t="str">
            <v>ARTURO GUTIERREZ JAQUEZ</v>
          </cell>
        </row>
        <row r="182">
          <cell r="A182" t="str">
            <v>82/2026</v>
          </cell>
          <cell r="B182">
            <v>82</v>
          </cell>
          <cell r="C182" t="str">
            <v>SUBROGACION</v>
          </cell>
          <cell r="D182">
            <v>46072</v>
          </cell>
          <cell r="E182" t="str">
            <v>ORTOPEDIA Y TRAUMA</v>
          </cell>
          <cell r="F182" t="str">
            <v>N/A</v>
          </cell>
          <cell r="G182">
            <v>3992100001</v>
          </cell>
          <cell r="H182" t="str">
            <v>SUTURA PDS 2-0</v>
          </cell>
          <cell r="I182">
            <v>2</v>
          </cell>
          <cell r="J182" t="str">
            <v>PIEZA</v>
          </cell>
          <cell r="K182">
            <v>3992</v>
          </cell>
          <cell r="L182" t="str">
            <v>FLORENTINO SEDANO GAMEZ</v>
          </cell>
          <cell r="M182">
            <v>2023441</v>
          </cell>
          <cell r="N182" t="str">
            <v>FLORENTINO SEDANO GAMEZ</v>
          </cell>
          <cell r="O182">
            <v>24007562</v>
          </cell>
          <cell r="P182" t="str">
            <v>JESUS</v>
          </cell>
          <cell r="Q182">
            <v>46072</v>
          </cell>
          <cell r="R182" t="str">
            <v>RECURSOS FINANCIEROS</v>
          </cell>
          <cell r="T182" t="str">
            <v>631/2026</v>
          </cell>
          <cell r="U182">
            <v>46092</v>
          </cell>
          <cell r="V182">
            <v>900</v>
          </cell>
          <cell r="W182">
            <v>1800</v>
          </cell>
          <cell r="X182">
            <v>288</v>
          </cell>
          <cell r="Y182">
            <v>2088</v>
          </cell>
          <cell r="Z182">
            <v>13</v>
          </cell>
          <cell r="AA182">
            <v>46093</v>
          </cell>
          <cell r="AB182">
            <v>46100</v>
          </cell>
          <cell r="AC182">
            <v>11</v>
          </cell>
          <cell r="AD182" t="str">
            <v>N/A</v>
          </cell>
          <cell r="AE182" t="str">
            <v>CARTA COMPROMISO</v>
          </cell>
          <cell r="AF182" t="str">
            <v>N/A</v>
          </cell>
          <cell r="AG182" t="str">
            <v>ARTURO GUTIERREZ JAQUEZ</v>
          </cell>
        </row>
        <row r="183">
          <cell r="A183" t="str">
            <v>83/2026</v>
          </cell>
          <cell r="B183">
            <v>83</v>
          </cell>
          <cell r="C183" t="str">
            <v>SUBROGACION</v>
          </cell>
          <cell r="D183">
            <v>46072</v>
          </cell>
          <cell r="E183" t="str">
            <v>TRANSPLANTES</v>
          </cell>
          <cell r="F183" t="str">
            <v>N/A</v>
          </cell>
          <cell r="G183">
            <v>3992100001</v>
          </cell>
          <cell r="H183" t="str">
            <v>ACIDO MICOFENOLICO 360 MG GRAGEA</v>
          </cell>
          <cell r="I183">
            <v>2</v>
          </cell>
          <cell r="J183" t="str">
            <v>CAJA</v>
          </cell>
          <cell r="K183">
            <v>3992</v>
          </cell>
          <cell r="L183" t="str">
            <v>LAURA CECILIA VALENZUELA PASCUAL</v>
          </cell>
          <cell r="M183">
            <v>981607</v>
          </cell>
          <cell r="N183" t="str">
            <v>HERNANDEZ VALENZUELA JESUS DANIEL</v>
          </cell>
          <cell r="O183">
            <v>18058648</v>
          </cell>
          <cell r="P183" t="str">
            <v>JESUS</v>
          </cell>
          <cell r="Q183">
            <v>46072</v>
          </cell>
          <cell r="R183" t="str">
            <v>COTIZACION</v>
          </cell>
        </row>
        <row r="184">
          <cell r="A184" t="str">
            <v>84/2026</v>
          </cell>
          <cell r="B184">
            <v>84</v>
          </cell>
          <cell r="C184" t="str">
            <v>SUBROGACION</v>
          </cell>
          <cell r="D184">
            <v>46073</v>
          </cell>
          <cell r="E184" t="str">
            <v>TRANSPLANTES</v>
          </cell>
          <cell r="F184" t="str">
            <v>N/A</v>
          </cell>
          <cell r="G184">
            <v>3992100001</v>
          </cell>
          <cell r="H184" t="str">
            <v>ACIDO MICOFENOLICO 360 MG GRAGEA</v>
          </cell>
          <cell r="I184">
            <v>1</v>
          </cell>
          <cell r="J184" t="str">
            <v>CAJA</v>
          </cell>
          <cell r="K184">
            <v>3992</v>
          </cell>
          <cell r="L184" t="str">
            <v>VIRGINIA ISABEL CHAVEZ GOMEZ</v>
          </cell>
          <cell r="M184">
            <v>941109</v>
          </cell>
          <cell r="N184" t="str">
            <v>VIRGINIA ISABEL CHAVEZ GOMEZ</v>
          </cell>
          <cell r="O184">
            <v>6051065</v>
          </cell>
          <cell r="P184" t="str">
            <v>JESUS</v>
          </cell>
          <cell r="Q184">
            <v>46073</v>
          </cell>
          <cell r="R184" t="str">
            <v>COTIZACION</v>
          </cell>
          <cell r="T184" t="str">
            <v>636/2026</v>
          </cell>
          <cell r="U184">
            <v>46092</v>
          </cell>
          <cell r="V184">
            <v>3187</v>
          </cell>
          <cell r="W184">
            <v>3187</v>
          </cell>
          <cell r="X184">
            <v>0</v>
          </cell>
          <cell r="Y184">
            <v>3187</v>
          </cell>
        </row>
        <row r="185">
          <cell r="A185" t="str">
            <v>85/2026</v>
          </cell>
          <cell r="B185">
            <v>85</v>
          </cell>
          <cell r="C185" t="str">
            <v>COMPRA POR FONDO</v>
          </cell>
          <cell r="D185">
            <v>46073</v>
          </cell>
          <cell r="E185" t="str">
            <v>ODONTOLOGIA</v>
          </cell>
          <cell r="F185" t="str">
            <v>FSO/14/2026</v>
          </cell>
          <cell r="G185">
            <v>2541104052</v>
          </cell>
          <cell r="H185" t="str">
            <v>PASTA PARA PROFILAXIS INDIVIDUAL CAJA PIEZA</v>
          </cell>
          <cell r="I185">
            <v>12</v>
          </cell>
          <cell r="J185" t="str">
            <v>CAJA</v>
          </cell>
          <cell r="K185">
            <v>2541</v>
          </cell>
          <cell r="L185" t="str">
            <v>N/A</v>
          </cell>
          <cell r="M185" t="str">
            <v>N/A</v>
          </cell>
          <cell r="N185" t="str">
            <v>N/A</v>
          </cell>
          <cell r="O185" t="str">
            <v>N/A</v>
          </cell>
          <cell r="P185" t="str">
            <v>BRENDA</v>
          </cell>
          <cell r="Q185">
            <v>46073</v>
          </cell>
          <cell r="R185" t="str">
            <v>COTIZACION</v>
          </cell>
        </row>
        <row r="186">
          <cell r="A186" t="str">
            <v>85/2026</v>
          </cell>
          <cell r="B186">
            <v>85</v>
          </cell>
          <cell r="C186" t="str">
            <v>COMPRA POR FONDO</v>
          </cell>
          <cell r="D186">
            <v>46073</v>
          </cell>
          <cell r="E186" t="str">
            <v>ODONTOLOGIA</v>
          </cell>
          <cell r="F186" t="str">
            <v>FSO/14/2026</v>
          </cell>
          <cell r="G186">
            <v>2541104037</v>
          </cell>
          <cell r="H186" t="str">
            <v>RESINA FOTOCURABLE PARA POSTERIORES JUEGO C/3 JERINGAS JUEGO PIEZA</v>
          </cell>
          <cell r="I186">
            <v>6</v>
          </cell>
          <cell r="J186" t="str">
            <v>JUEGO</v>
          </cell>
          <cell r="K186">
            <v>2541</v>
          </cell>
          <cell r="L186" t="str">
            <v>N/A</v>
          </cell>
          <cell r="M186" t="str">
            <v>N/A</v>
          </cell>
          <cell r="N186" t="str">
            <v>N/A</v>
          </cell>
          <cell r="O186" t="str">
            <v>N/A</v>
          </cell>
          <cell r="P186" t="str">
            <v>BRENDA</v>
          </cell>
          <cell r="Q186">
            <v>46073</v>
          </cell>
          <cell r="R186" t="str">
            <v>COTIZACION</v>
          </cell>
        </row>
        <row r="187">
          <cell r="A187" t="str">
            <v>85/2026</v>
          </cell>
          <cell r="B187">
            <v>85</v>
          </cell>
          <cell r="C187" t="str">
            <v>COMPRA POR FONDO</v>
          </cell>
          <cell r="D187">
            <v>46073</v>
          </cell>
          <cell r="E187" t="str">
            <v>ODONTOLOGIA</v>
          </cell>
          <cell r="F187" t="str">
            <v>FSO/14/2026</v>
          </cell>
          <cell r="G187">
            <v>2541104036</v>
          </cell>
          <cell r="H187" t="str">
            <v>CORONAS DE ACERO PARA POSTERIORES ESTUCHE ESTUCHE</v>
          </cell>
          <cell r="I187">
            <v>6</v>
          </cell>
          <cell r="J187" t="str">
            <v>ESTUCHE</v>
          </cell>
          <cell r="K187">
            <v>2541</v>
          </cell>
          <cell r="L187" t="str">
            <v>N/A</v>
          </cell>
          <cell r="M187" t="str">
            <v>N/A</v>
          </cell>
          <cell r="N187" t="str">
            <v>N/A</v>
          </cell>
          <cell r="O187" t="str">
            <v>N/A</v>
          </cell>
          <cell r="P187" t="str">
            <v>BRENDA</v>
          </cell>
          <cell r="Q187">
            <v>46073</v>
          </cell>
          <cell r="R187" t="str">
            <v>COTIZACION</v>
          </cell>
        </row>
        <row r="188">
          <cell r="A188" t="str">
            <v>85/2026</v>
          </cell>
          <cell r="B188">
            <v>85</v>
          </cell>
          <cell r="C188" t="str">
            <v>COMPRA POR FONDO</v>
          </cell>
          <cell r="D188">
            <v>46073</v>
          </cell>
          <cell r="E188" t="str">
            <v>ODONTOLOGIA</v>
          </cell>
          <cell r="F188" t="str">
            <v>FSO/14/2026</v>
          </cell>
          <cell r="G188">
            <v>2541104030</v>
          </cell>
          <cell r="H188" t="str">
            <v>AGUJA DENTAL LARGA</v>
          </cell>
          <cell r="I188">
            <v>6</v>
          </cell>
          <cell r="J188" t="str">
            <v>PIEZA</v>
          </cell>
          <cell r="K188">
            <v>2541</v>
          </cell>
          <cell r="L188" t="str">
            <v>N/A</v>
          </cell>
          <cell r="M188" t="str">
            <v>N/A</v>
          </cell>
          <cell r="N188" t="str">
            <v>N/A</v>
          </cell>
          <cell r="O188" t="str">
            <v>N/A</v>
          </cell>
          <cell r="P188" t="str">
            <v>BRENDA</v>
          </cell>
          <cell r="Q188">
            <v>46073</v>
          </cell>
          <cell r="R188" t="str">
            <v>COTIZACION</v>
          </cell>
        </row>
        <row r="189">
          <cell r="A189" t="str">
            <v>85/2026</v>
          </cell>
          <cell r="B189">
            <v>85</v>
          </cell>
          <cell r="C189" t="str">
            <v>COMPRA POR FONDO</v>
          </cell>
          <cell r="D189">
            <v>46073</v>
          </cell>
          <cell r="E189" t="str">
            <v>ODONTOLOGIA</v>
          </cell>
          <cell r="F189" t="str">
            <v>FSO/14/2026</v>
          </cell>
          <cell r="G189">
            <v>2541104029</v>
          </cell>
          <cell r="H189" t="str">
            <v>AGUJA DENTAL CORTA CAJA PIEZA</v>
          </cell>
          <cell r="I189">
            <v>24</v>
          </cell>
          <cell r="J189" t="str">
            <v>PIEZA</v>
          </cell>
          <cell r="K189">
            <v>2541</v>
          </cell>
          <cell r="L189" t="str">
            <v>N/A</v>
          </cell>
          <cell r="M189" t="str">
            <v>N/A</v>
          </cell>
          <cell r="N189" t="str">
            <v>N/A</v>
          </cell>
          <cell r="O189" t="str">
            <v>N/A</v>
          </cell>
          <cell r="P189" t="str">
            <v>BRENDA</v>
          </cell>
          <cell r="Q189">
            <v>46073</v>
          </cell>
          <cell r="R189" t="str">
            <v>COTIZACION</v>
          </cell>
        </row>
        <row r="190">
          <cell r="A190" t="str">
            <v>85/2026</v>
          </cell>
          <cell r="B190">
            <v>85</v>
          </cell>
          <cell r="C190" t="str">
            <v>COMPRA POR FONDO</v>
          </cell>
          <cell r="D190">
            <v>46073</v>
          </cell>
          <cell r="E190" t="str">
            <v>ODONTOLOGIA</v>
          </cell>
          <cell r="F190" t="str">
            <v>FSO/14/2026</v>
          </cell>
          <cell r="G190">
            <v>2541104022</v>
          </cell>
          <cell r="H190" t="str">
            <v>RESINA FOTOCURABLE PARA ANTERIORES JUEGO C/6</v>
          </cell>
          <cell r="I190">
            <v>6</v>
          </cell>
          <cell r="J190" t="str">
            <v>JUEGO</v>
          </cell>
          <cell r="K190">
            <v>2541</v>
          </cell>
          <cell r="L190" t="str">
            <v>N/A</v>
          </cell>
          <cell r="M190" t="str">
            <v>N/A</v>
          </cell>
          <cell r="N190" t="str">
            <v>N/A</v>
          </cell>
          <cell r="O190" t="str">
            <v>N/A</v>
          </cell>
          <cell r="P190" t="str">
            <v>BRENDA</v>
          </cell>
          <cell r="Q190">
            <v>46073</v>
          </cell>
          <cell r="R190" t="str">
            <v>COTIZACION</v>
          </cell>
        </row>
        <row r="191">
          <cell r="A191" t="str">
            <v>85/2026</v>
          </cell>
          <cell r="B191">
            <v>85</v>
          </cell>
          <cell r="C191" t="str">
            <v>COMPRA POR FONDO</v>
          </cell>
          <cell r="D191">
            <v>46073</v>
          </cell>
          <cell r="E191" t="str">
            <v>ODONTOLOGIA</v>
          </cell>
          <cell r="F191" t="str">
            <v>FSO/14/2026</v>
          </cell>
          <cell r="G191">
            <v>2541104008</v>
          </cell>
          <cell r="H191" t="str">
            <v>CEMENTO TEMPORAL PARA PIEZAS NO VITALES</v>
          </cell>
          <cell r="I191">
            <v>8</v>
          </cell>
          <cell r="J191" t="str">
            <v>PAQUETE</v>
          </cell>
          <cell r="K191">
            <v>2541</v>
          </cell>
          <cell r="L191" t="str">
            <v>N/A</v>
          </cell>
          <cell r="M191" t="str">
            <v>N/A</v>
          </cell>
          <cell r="N191" t="str">
            <v>N/A</v>
          </cell>
          <cell r="O191" t="str">
            <v>N/A</v>
          </cell>
          <cell r="P191" t="str">
            <v>BRENDA</v>
          </cell>
          <cell r="Q191">
            <v>46073</v>
          </cell>
          <cell r="R191" t="str">
            <v>COTIZACION</v>
          </cell>
        </row>
        <row r="192">
          <cell r="A192" t="str">
            <v>85/2026</v>
          </cell>
          <cell r="B192">
            <v>85</v>
          </cell>
          <cell r="C192" t="str">
            <v>COMPRA POR FONDO</v>
          </cell>
          <cell r="D192">
            <v>46073</v>
          </cell>
          <cell r="E192" t="str">
            <v>ODONTOLOGIA</v>
          </cell>
          <cell r="F192" t="str">
            <v>FSO/14/2026</v>
          </cell>
          <cell r="G192">
            <v>2541104001</v>
          </cell>
          <cell r="H192" t="str">
            <v>CONO DE HULE P/PULIR</v>
          </cell>
          <cell r="I192">
            <v>1000</v>
          </cell>
          <cell r="J192" t="str">
            <v>PIEZA</v>
          </cell>
          <cell r="K192">
            <v>2541</v>
          </cell>
          <cell r="L192" t="str">
            <v>N/A</v>
          </cell>
          <cell r="M192" t="str">
            <v>N/A</v>
          </cell>
          <cell r="N192" t="str">
            <v>N/A</v>
          </cell>
          <cell r="O192" t="str">
            <v>N/A</v>
          </cell>
          <cell r="P192" t="str">
            <v>BRENDA</v>
          </cell>
          <cell r="Q192">
            <v>46073</v>
          </cell>
          <cell r="R192" t="str">
            <v>COTIZACION</v>
          </cell>
        </row>
        <row r="193">
          <cell r="A193" t="str">
            <v>85/2026</v>
          </cell>
          <cell r="B193">
            <v>85</v>
          </cell>
          <cell r="C193" t="str">
            <v>COMPRA POR FONDO</v>
          </cell>
          <cell r="D193">
            <v>46073</v>
          </cell>
          <cell r="E193" t="str">
            <v>ODONTOLOGIA</v>
          </cell>
          <cell r="F193" t="str">
            <v>FSO/14/2026</v>
          </cell>
          <cell r="G193">
            <v>2541073017</v>
          </cell>
          <cell r="H193" t="str">
            <v>MASCARILLA NO. 95   PIEZA</v>
          </cell>
          <cell r="I193">
            <v>100</v>
          </cell>
          <cell r="J193" t="str">
            <v>PIEZA</v>
          </cell>
          <cell r="K193">
            <v>2541</v>
          </cell>
          <cell r="L193" t="str">
            <v>N/A</v>
          </cell>
          <cell r="M193" t="str">
            <v>N/A</v>
          </cell>
          <cell r="N193" t="str">
            <v>N/A</v>
          </cell>
          <cell r="O193" t="str">
            <v>N/A</v>
          </cell>
          <cell r="P193" t="str">
            <v>BRENDA</v>
          </cell>
          <cell r="Q193">
            <v>46073</v>
          </cell>
          <cell r="R193" t="str">
            <v>COTIZACION</v>
          </cell>
        </row>
        <row r="194">
          <cell r="A194" t="str">
            <v>85/2026</v>
          </cell>
          <cell r="B194">
            <v>85</v>
          </cell>
          <cell r="C194" t="str">
            <v>COMPRA POR FONDO</v>
          </cell>
          <cell r="D194">
            <v>46073</v>
          </cell>
          <cell r="E194" t="str">
            <v>ODONTOLOGIA</v>
          </cell>
          <cell r="F194" t="str">
            <v>FSO/14/2026</v>
          </cell>
          <cell r="G194">
            <v>2541048011</v>
          </cell>
          <cell r="H194" t="str">
            <v>KIT FRESAS DIAMANTE UNIVERSAL ESTUCHE 18/PZAS. PIEZA</v>
          </cell>
          <cell r="I194">
            <v>24</v>
          </cell>
          <cell r="J194" t="str">
            <v>PIEZA</v>
          </cell>
          <cell r="K194">
            <v>2541</v>
          </cell>
          <cell r="L194" t="str">
            <v>N/A</v>
          </cell>
          <cell r="M194" t="str">
            <v>N/A</v>
          </cell>
          <cell r="N194" t="str">
            <v>N/A</v>
          </cell>
          <cell r="O194" t="str">
            <v>N/A</v>
          </cell>
          <cell r="P194" t="str">
            <v>BRENDA</v>
          </cell>
          <cell r="Q194">
            <v>46073</v>
          </cell>
          <cell r="R194" t="str">
            <v>COTIZACION</v>
          </cell>
        </row>
        <row r="195">
          <cell r="A195" t="str">
            <v>85/2026</v>
          </cell>
          <cell r="B195">
            <v>85</v>
          </cell>
          <cell r="C195" t="str">
            <v>COMPRA POR FONDO</v>
          </cell>
          <cell r="D195">
            <v>46073</v>
          </cell>
          <cell r="E195" t="str">
            <v>ODONTOLOGIA</v>
          </cell>
          <cell r="F195" t="str">
            <v>FSO/14/2026</v>
          </cell>
          <cell r="G195">
            <v>2541048008</v>
          </cell>
          <cell r="H195" t="str">
            <v>FRESA DIAMANTE TRONCOCONICA DELGADA PIEZA</v>
          </cell>
          <cell r="I195">
            <v>60</v>
          </cell>
          <cell r="J195" t="str">
            <v>PIEZA</v>
          </cell>
          <cell r="K195">
            <v>2541</v>
          </cell>
          <cell r="L195" t="str">
            <v>N/A</v>
          </cell>
          <cell r="M195" t="str">
            <v>N/A</v>
          </cell>
          <cell r="N195" t="str">
            <v>N/A</v>
          </cell>
          <cell r="O195" t="str">
            <v>N/A</v>
          </cell>
          <cell r="P195" t="str">
            <v>BRENDA</v>
          </cell>
          <cell r="Q195">
            <v>46073</v>
          </cell>
          <cell r="R195" t="str">
            <v>COTIZACION</v>
          </cell>
        </row>
        <row r="196">
          <cell r="A196" t="str">
            <v>85/2026</v>
          </cell>
          <cell r="B196">
            <v>85</v>
          </cell>
          <cell r="C196" t="str">
            <v>COMPRA POR FONDO</v>
          </cell>
          <cell r="D196">
            <v>46073</v>
          </cell>
          <cell r="E196" t="str">
            <v>ODONTOLOGIA</v>
          </cell>
          <cell r="F196" t="str">
            <v>FSO/14/2026</v>
          </cell>
          <cell r="G196">
            <v>2541048007</v>
          </cell>
          <cell r="H196" t="str">
            <v>FRESA DIAMANTE CONO INVERTIDO ALPHA 010009 INDIV. PIEZA</v>
          </cell>
          <cell r="I196">
            <v>60</v>
          </cell>
          <cell r="J196" t="str">
            <v>PIEZA</v>
          </cell>
          <cell r="K196">
            <v>2541</v>
          </cell>
          <cell r="L196" t="str">
            <v>N/A</v>
          </cell>
          <cell r="M196" t="str">
            <v>N/A</v>
          </cell>
          <cell r="N196" t="str">
            <v>N/A</v>
          </cell>
          <cell r="O196" t="str">
            <v>N/A</v>
          </cell>
          <cell r="P196" t="str">
            <v>BRENDA</v>
          </cell>
          <cell r="Q196">
            <v>46073</v>
          </cell>
          <cell r="R196" t="str">
            <v>COTIZACION</v>
          </cell>
        </row>
        <row r="197">
          <cell r="A197" t="str">
            <v>85/2026</v>
          </cell>
          <cell r="B197">
            <v>85</v>
          </cell>
          <cell r="C197" t="str">
            <v>COMPRA POR FONDO</v>
          </cell>
          <cell r="D197">
            <v>46073</v>
          </cell>
          <cell r="E197" t="str">
            <v>ODONTOLOGIA</v>
          </cell>
          <cell r="F197" t="str">
            <v>FSO/14/2026</v>
          </cell>
          <cell r="G197">
            <v>2541011001</v>
          </cell>
          <cell r="H197" t="str">
            <v>ANESTESIA CLORHIDRATO DE MEPIVACAINA 3% PIEZA</v>
          </cell>
          <cell r="I197">
            <v>36</v>
          </cell>
          <cell r="J197" t="str">
            <v>PIEZA</v>
          </cell>
          <cell r="K197">
            <v>2541</v>
          </cell>
          <cell r="L197" t="str">
            <v>N/A</v>
          </cell>
          <cell r="M197" t="str">
            <v>N/A</v>
          </cell>
          <cell r="N197" t="str">
            <v>N/A</v>
          </cell>
          <cell r="O197" t="str">
            <v>N/A</v>
          </cell>
          <cell r="P197" t="str">
            <v>BRENDA</v>
          </cell>
          <cell r="Q197">
            <v>46073</v>
          </cell>
          <cell r="R197" t="str">
            <v>COTIZACION</v>
          </cell>
        </row>
        <row r="198">
          <cell r="A198" t="str">
            <v>85/2026</v>
          </cell>
          <cell r="B198">
            <v>85</v>
          </cell>
          <cell r="C198" t="str">
            <v>COMPRA POR FONDO</v>
          </cell>
          <cell r="D198">
            <v>46073</v>
          </cell>
          <cell r="E198" t="str">
            <v>ODONTOLOGIA</v>
          </cell>
          <cell r="F198" t="str">
            <v>FSO/14/2026</v>
          </cell>
          <cell r="G198">
            <v>2541104016</v>
          </cell>
          <cell r="H198" t="str">
            <v>ALGINATO KROMOPAN RAPIDO ( ZEICO CROMATICO) BOLSA</v>
          </cell>
          <cell r="I198">
            <v>12</v>
          </cell>
          <cell r="J198" t="str">
            <v>BOLSA</v>
          </cell>
          <cell r="K198">
            <v>2541</v>
          </cell>
          <cell r="L198" t="str">
            <v>N/A</v>
          </cell>
          <cell r="M198" t="str">
            <v>N/A</v>
          </cell>
          <cell r="N198" t="str">
            <v>N/A</v>
          </cell>
          <cell r="O198" t="str">
            <v>N/A</v>
          </cell>
          <cell r="P198" t="str">
            <v>BRENDA</v>
          </cell>
          <cell r="Q198">
            <v>46073</v>
          </cell>
          <cell r="R198" t="str">
            <v>COTIZACION</v>
          </cell>
        </row>
        <row r="199">
          <cell r="A199" t="str">
            <v>85/2026</v>
          </cell>
          <cell r="B199">
            <v>85</v>
          </cell>
          <cell r="C199" t="str">
            <v>COMPRA POR FONDO</v>
          </cell>
          <cell r="D199">
            <v>46073</v>
          </cell>
          <cell r="E199" t="str">
            <v>ODONTOLOGIA</v>
          </cell>
          <cell r="F199" t="str">
            <v>FSO/14/2026</v>
          </cell>
          <cell r="G199">
            <v>2541104023</v>
          </cell>
          <cell r="H199" t="str">
            <v>RESINA FLUIDA JERINGA TONO A2 JUEGO</v>
          </cell>
          <cell r="I199">
            <v>36</v>
          </cell>
          <cell r="J199" t="str">
            <v>JUEGO</v>
          </cell>
          <cell r="K199">
            <v>2541</v>
          </cell>
          <cell r="L199" t="str">
            <v>N/A</v>
          </cell>
          <cell r="M199" t="str">
            <v>N/A</v>
          </cell>
          <cell r="N199" t="str">
            <v>N/A</v>
          </cell>
          <cell r="O199" t="str">
            <v>N/A</v>
          </cell>
          <cell r="P199" t="str">
            <v>BRENDA</v>
          </cell>
          <cell r="Q199">
            <v>46073</v>
          </cell>
          <cell r="R199" t="str">
            <v>COTIZACION</v>
          </cell>
        </row>
        <row r="200">
          <cell r="A200" t="str">
            <v>85/2026</v>
          </cell>
          <cell r="B200">
            <v>85</v>
          </cell>
          <cell r="C200" t="str">
            <v>COMPRA POR FONDO</v>
          </cell>
          <cell r="D200">
            <v>46073</v>
          </cell>
          <cell r="E200" t="str">
            <v>ODONTOLOGIA</v>
          </cell>
          <cell r="F200" t="str">
            <v>FSO/14/2026</v>
          </cell>
          <cell r="G200">
            <v>2541104024</v>
          </cell>
          <cell r="H200" t="str">
            <v>RESINA FLUIDA JERINGA TONO A3 JUEGO</v>
          </cell>
          <cell r="I200">
            <v>36</v>
          </cell>
          <cell r="J200" t="str">
            <v>JUEGO</v>
          </cell>
          <cell r="K200">
            <v>2541</v>
          </cell>
          <cell r="L200" t="str">
            <v>N/A</v>
          </cell>
          <cell r="M200" t="str">
            <v>N/A</v>
          </cell>
          <cell r="N200" t="str">
            <v>N/A</v>
          </cell>
          <cell r="O200" t="str">
            <v>N/A</v>
          </cell>
          <cell r="P200" t="str">
            <v>BRENDA</v>
          </cell>
          <cell r="Q200">
            <v>46073</v>
          </cell>
          <cell r="R200" t="str">
            <v>COTIZACION</v>
          </cell>
        </row>
        <row r="201">
          <cell r="A201" t="str">
            <v>85/2026</v>
          </cell>
          <cell r="B201">
            <v>85</v>
          </cell>
          <cell r="C201" t="str">
            <v>COMPRA POR FONDO</v>
          </cell>
          <cell r="D201">
            <v>46073</v>
          </cell>
          <cell r="E201" t="str">
            <v>ODONTOLOGIA</v>
          </cell>
          <cell r="F201" t="str">
            <v>FSO/14/2026</v>
          </cell>
          <cell r="G201">
            <v>2541008506</v>
          </cell>
          <cell r="H201" t="str">
            <v>AGUJA DENTAL EXTRACORTA 12 MM/0.30MM, DE DIÁMETRO. CAJA CON 100</v>
          </cell>
          <cell r="I201">
            <v>12</v>
          </cell>
          <cell r="J201" t="str">
            <v>CAJA</v>
          </cell>
          <cell r="K201">
            <v>2541</v>
          </cell>
          <cell r="L201" t="str">
            <v>N/A</v>
          </cell>
          <cell r="M201" t="str">
            <v>N/A</v>
          </cell>
          <cell r="N201" t="str">
            <v>N/A</v>
          </cell>
          <cell r="O201" t="str">
            <v>N/A</v>
          </cell>
          <cell r="P201" t="str">
            <v>BRENDA</v>
          </cell>
          <cell r="Q201">
            <v>46073</v>
          </cell>
          <cell r="R201" t="str">
            <v>COTIZACION</v>
          </cell>
        </row>
        <row r="202">
          <cell r="A202" t="str">
            <v>85/2026</v>
          </cell>
          <cell r="B202">
            <v>85</v>
          </cell>
          <cell r="C202" t="str">
            <v>COMPRA POR FONDO</v>
          </cell>
          <cell r="D202">
            <v>46073</v>
          </cell>
          <cell r="E202" t="str">
            <v>ODONTOLOGIA</v>
          </cell>
          <cell r="F202" t="str">
            <v>FSO/14/2026</v>
          </cell>
          <cell r="G202">
            <v>2541008507</v>
          </cell>
          <cell r="H202" t="str">
            <v>DIQUES DE HULE, TAMAÑO DE 5'X5' DE ESPESOR MEDIO, CAJA CON 36</v>
          </cell>
          <cell r="I202">
            <v>36</v>
          </cell>
          <cell r="J202" t="str">
            <v>CAJA</v>
          </cell>
          <cell r="K202">
            <v>2541</v>
          </cell>
          <cell r="L202" t="str">
            <v>N/A</v>
          </cell>
          <cell r="M202" t="str">
            <v>N/A</v>
          </cell>
          <cell r="N202" t="str">
            <v>N/A</v>
          </cell>
          <cell r="O202" t="str">
            <v>N/A</v>
          </cell>
          <cell r="P202" t="str">
            <v>BRENDA</v>
          </cell>
          <cell r="Q202">
            <v>46073</v>
          </cell>
          <cell r="R202" t="str">
            <v>COTIZACION</v>
          </cell>
        </row>
        <row r="203">
          <cell r="A203" t="str">
            <v>85/2026</v>
          </cell>
          <cell r="B203">
            <v>85</v>
          </cell>
          <cell r="C203" t="str">
            <v>COMPRA POR FONDO</v>
          </cell>
          <cell r="D203">
            <v>46073</v>
          </cell>
          <cell r="E203" t="str">
            <v>ODONTOLOGIA</v>
          </cell>
          <cell r="F203" t="str">
            <v>FSO/14/2026</v>
          </cell>
          <cell r="G203">
            <v>2541008514</v>
          </cell>
          <cell r="H203" t="str">
            <v>CEMENTO MTA (AGREGADO DE TRIÓXIDO MINERAL)</v>
          </cell>
          <cell r="I203">
            <v>5</v>
          </cell>
          <cell r="J203" t="str">
            <v>JUEGO</v>
          </cell>
          <cell r="K203">
            <v>2541</v>
          </cell>
          <cell r="L203" t="str">
            <v>N/A</v>
          </cell>
          <cell r="M203" t="str">
            <v>N/A</v>
          </cell>
          <cell r="N203" t="str">
            <v>N/A</v>
          </cell>
          <cell r="O203" t="str">
            <v>N/A</v>
          </cell>
          <cell r="P203" t="str">
            <v>BRENDA</v>
          </cell>
          <cell r="Q203">
            <v>46073</v>
          </cell>
          <cell r="R203" t="str">
            <v>COTIZACION</v>
          </cell>
        </row>
        <row r="204">
          <cell r="A204" t="str">
            <v>85/2026</v>
          </cell>
          <cell r="B204">
            <v>85</v>
          </cell>
          <cell r="C204" t="str">
            <v>COMPRA POR FONDO</v>
          </cell>
          <cell r="D204">
            <v>46073</v>
          </cell>
          <cell r="E204" t="str">
            <v>ODONTOLOGIA</v>
          </cell>
          <cell r="F204" t="str">
            <v>FSO/14/2026</v>
          </cell>
          <cell r="G204">
            <v>2541008515</v>
          </cell>
          <cell r="H204" t="str">
            <v>CEMENTO QUIRURGICO ADHESIVO TISULAR</v>
          </cell>
          <cell r="I204">
            <v>5</v>
          </cell>
          <cell r="J204" t="str">
            <v>PIEZA</v>
          </cell>
          <cell r="K204">
            <v>2541</v>
          </cell>
          <cell r="L204" t="str">
            <v>N/A</v>
          </cell>
          <cell r="M204" t="str">
            <v>N/A</v>
          </cell>
          <cell r="N204" t="str">
            <v>N/A</v>
          </cell>
          <cell r="O204" t="str">
            <v>N/A</v>
          </cell>
          <cell r="P204" t="str">
            <v>BRENDA</v>
          </cell>
          <cell r="Q204">
            <v>46073</v>
          </cell>
          <cell r="R204" t="str">
            <v>COTIZACION</v>
          </cell>
        </row>
        <row r="205">
          <cell r="A205" t="str">
            <v>85/2026</v>
          </cell>
          <cell r="B205">
            <v>85</v>
          </cell>
          <cell r="C205" t="str">
            <v>COMPRA POR FONDO</v>
          </cell>
          <cell r="D205">
            <v>46073</v>
          </cell>
          <cell r="E205" t="str">
            <v>ODONTOLOGIA</v>
          </cell>
          <cell r="F205" t="str">
            <v>FSO/14/2026</v>
          </cell>
          <cell r="G205">
            <v>2541008516</v>
          </cell>
          <cell r="H205" t="str">
            <v>CEMENTO QUIRURGICO PERIODONTAL SIN EUGENOL (1 TUBO 90 GR. BASE, 1 TUBO 90 GR. CATALIZADOR)</v>
          </cell>
          <cell r="I205">
            <v>5</v>
          </cell>
          <cell r="J205" t="str">
            <v>JUEGO</v>
          </cell>
          <cell r="K205">
            <v>2541</v>
          </cell>
          <cell r="L205" t="str">
            <v>N/A</v>
          </cell>
          <cell r="M205" t="str">
            <v>N/A</v>
          </cell>
          <cell r="N205" t="str">
            <v>N/A</v>
          </cell>
          <cell r="O205" t="str">
            <v>N/A</v>
          </cell>
          <cell r="P205" t="str">
            <v>BRENDA</v>
          </cell>
          <cell r="Q205">
            <v>46073</v>
          </cell>
          <cell r="R205" t="str">
            <v>COTIZACION</v>
          </cell>
        </row>
        <row r="206">
          <cell r="A206" t="str">
            <v>85/2026</v>
          </cell>
          <cell r="B206">
            <v>85</v>
          </cell>
          <cell r="C206" t="str">
            <v>COMPRA POR FONDO</v>
          </cell>
          <cell r="D206">
            <v>46073</v>
          </cell>
          <cell r="E206" t="str">
            <v>ODONTOLOGIA</v>
          </cell>
          <cell r="F206" t="str">
            <v>FSO/14/2026</v>
          </cell>
          <cell r="G206">
            <v>2541008517</v>
          </cell>
          <cell r="H206" t="str">
            <v>CEMENTO ENDODONTICO CTZ.- MEZCLA DE CLORANFENICOL, TETRACICLINA, OXIDO DE ZINC EN CAPSULA, FRASCO CON 40</v>
          </cell>
          <cell r="I206">
            <v>6</v>
          </cell>
          <cell r="J206" t="str">
            <v>FRASCO</v>
          </cell>
          <cell r="K206">
            <v>2541</v>
          </cell>
          <cell r="L206" t="str">
            <v>N/A</v>
          </cell>
          <cell r="M206" t="str">
            <v>N/A</v>
          </cell>
          <cell r="N206" t="str">
            <v>N/A</v>
          </cell>
          <cell r="O206" t="str">
            <v>N/A</v>
          </cell>
          <cell r="P206" t="str">
            <v>BRENDA</v>
          </cell>
          <cell r="Q206">
            <v>46073</v>
          </cell>
          <cell r="R206" t="str">
            <v>COTIZACION</v>
          </cell>
        </row>
        <row r="207">
          <cell r="A207" t="str">
            <v>85/2026</v>
          </cell>
          <cell r="B207">
            <v>85</v>
          </cell>
          <cell r="C207" t="str">
            <v>COMPRA POR FONDO</v>
          </cell>
          <cell r="D207">
            <v>46073</v>
          </cell>
          <cell r="E207" t="str">
            <v>ODONTOLOGIA</v>
          </cell>
          <cell r="F207" t="str">
            <v>FSO/14/2026</v>
          </cell>
          <cell r="G207">
            <v>2541008518</v>
          </cell>
          <cell r="H207" t="str">
            <v>FRESA QUIRURGICA DE VÁSTAGO LARGO # 702 BAJA VELOCIDAD</v>
          </cell>
          <cell r="I207">
            <v>120</v>
          </cell>
          <cell r="J207" t="str">
            <v>PIEZA</v>
          </cell>
          <cell r="K207">
            <v>2541</v>
          </cell>
          <cell r="L207" t="str">
            <v>N/A</v>
          </cell>
          <cell r="M207" t="str">
            <v>N/A</v>
          </cell>
          <cell r="N207" t="str">
            <v>N/A</v>
          </cell>
          <cell r="O207" t="str">
            <v>N/A</v>
          </cell>
          <cell r="P207" t="str">
            <v>BRENDA</v>
          </cell>
          <cell r="Q207">
            <v>46073</v>
          </cell>
          <cell r="R207" t="str">
            <v>COTIZACION</v>
          </cell>
        </row>
        <row r="208">
          <cell r="A208" t="str">
            <v>85/2026</v>
          </cell>
          <cell r="B208">
            <v>85</v>
          </cell>
          <cell r="C208" t="str">
            <v>COMPRA POR FONDO</v>
          </cell>
          <cell r="D208">
            <v>46073</v>
          </cell>
          <cell r="E208" t="str">
            <v>ODONTOLOGIA</v>
          </cell>
          <cell r="F208" t="str">
            <v>FSO/14/2026</v>
          </cell>
          <cell r="G208">
            <v>2541008519</v>
          </cell>
          <cell r="H208" t="str">
            <v>FRESA QUIRURGICA DE VÁSTAGO LARGO # 700 BAJA VELOCIDAD</v>
          </cell>
          <cell r="I208">
            <v>120</v>
          </cell>
          <cell r="J208" t="str">
            <v>PIEZA</v>
          </cell>
          <cell r="K208">
            <v>2541</v>
          </cell>
          <cell r="L208" t="str">
            <v>N/A</v>
          </cell>
          <cell r="M208" t="str">
            <v>N/A</v>
          </cell>
          <cell r="N208" t="str">
            <v>N/A</v>
          </cell>
          <cell r="O208" t="str">
            <v>N/A</v>
          </cell>
          <cell r="P208" t="str">
            <v>BRENDA</v>
          </cell>
          <cell r="Q208">
            <v>46073</v>
          </cell>
          <cell r="R208" t="str">
            <v>COTIZACION</v>
          </cell>
        </row>
        <row r="209">
          <cell r="A209" t="str">
            <v>86/2026</v>
          </cell>
          <cell r="B209">
            <v>86</v>
          </cell>
          <cell r="C209" t="str">
            <v>COMPRA POR FONDO</v>
          </cell>
          <cell r="D209">
            <v>46073</v>
          </cell>
          <cell r="E209" t="str">
            <v>INGENIERIA BIOMEDICA</v>
          </cell>
          <cell r="F209" t="str">
            <v>FDIB/38/2026</v>
          </cell>
          <cell r="G209">
            <v>2951101130</v>
          </cell>
          <cell r="H209" t="str">
            <v>SET CONTENEDOR DE AGUA CON BASES DE SILICON PARA 140/ 145/ 150/ 160/ 180 Y 190 (MAJ-901)</v>
          </cell>
          <cell r="I209">
            <v>5</v>
          </cell>
          <cell r="J209" t="str">
            <v>PIEZA</v>
          </cell>
          <cell r="K209">
            <v>2951</v>
          </cell>
          <cell r="L209" t="str">
            <v>N/A</v>
          </cell>
          <cell r="M209" t="str">
            <v>N/A</v>
          </cell>
          <cell r="N209" t="str">
            <v>N/A</v>
          </cell>
          <cell r="O209" t="str">
            <v>N/A</v>
          </cell>
          <cell r="P209" t="str">
            <v>BRENDA</v>
          </cell>
          <cell r="Q209">
            <v>46073</v>
          </cell>
          <cell r="R209" t="str">
            <v>CANCELADO</v>
          </cell>
          <cell r="S209" t="str">
            <v>CODIGO INACTIVO, SERVICIO SUSTITUYE SU OFICIO POR EL FDIB/44/2026</v>
          </cell>
        </row>
        <row r="210">
          <cell r="A210" t="str">
            <v>87/2026</v>
          </cell>
          <cell r="B210">
            <v>87</v>
          </cell>
          <cell r="C210" t="str">
            <v>COMPRA POR FONDO</v>
          </cell>
          <cell r="D210">
            <v>46073</v>
          </cell>
          <cell r="E210" t="str">
            <v xml:space="preserve">DIETOLOGIA Y NUTRICION </v>
          </cell>
          <cell r="F210" t="str">
            <v>079/D/2026</v>
          </cell>
          <cell r="G210">
            <v>2111500007</v>
          </cell>
          <cell r="H210" t="str">
            <v>VASO DESECHABLE TERMICO CON TAPA NO.8 PAQUETE/25 PZAS.</v>
          </cell>
          <cell r="I210">
            <v>1200</v>
          </cell>
          <cell r="J210" t="str">
            <v>PAQUETE</v>
          </cell>
          <cell r="K210">
            <v>2111</v>
          </cell>
          <cell r="L210" t="str">
            <v>N/A</v>
          </cell>
          <cell r="M210" t="str">
            <v>N/A</v>
          </cell>
          <cell r="N210" t="str">
            <v>N/A</v>
          </cell>
          <cell r="O210" t="str">
            <v>N/A</v>
          </cell>
          <cell r="P210" t="str">
            <v>BRENDA</v>
          </cell>
          <cell r="Q210">
            <v>46073</v>
          </cell>
          <cell r="R210" t="str">
            <v>COTIZACION</v>
          </cell>
        </row>
        <row r="211">
          <cell r="A211" t="str">
            <v>87/2026</v>
          </cell>
          <cell r="B211">
            <v>87</v>
          </cell>
          <cell r="C211" t="str">
            <v>COMPRA POR FONDO</v>
          </cell>
          <cell r="D211">
            <v>46073</v>
          </cell>
          <cell r="E211" t="str">
            <v xml:space="preserve">DIETOLOGIA Y NUTRICION </v>
          </cell>
          <cell r="F211" t="str">
            <v>079/D/2026</v>
          </cell>
          <cell r="G211">
            <v>2111005028</v>
          </cell>
          <cell r="H211" t="str">
            <v>VASO DESECHABLE TERMICO NO.8 PAQUETE/25 PZAS</v>
          </cell>
          <cell r="I211">
            <v>1200</v>
          </cell>
          <cell r="J211" t="str">
            <v>PAQUETE</v>
          </cell>
          <cell r="K211">
            <v>2111</v>
          </cell>
          <cell r="L211" t="str">
            <v>N/A</v>
          </cell>
          <cell r="M211" t="str">
            <v>N/A</v>
          </cell>
          <cell r="N211" t="str">
            <v>N/A</v>
          </cell>
          <cell r="O211" t="str">
            <v>N/A</v>
          </cell>
          <cell r="P211" t="str">
            <v>BRENDA</v>
          </cell>
          <cell r="Q211">
            <v>46073</v>
          </cell>
          <cell r="R211" t="str">
            <v>COTIZACION</v>
          </cell>
        </row>
        <row r="212">
          <cell r="A212" t="str">
            <v>87/2026</v>
          </cell>
          <cell r="B212">
            <v>87</v>
          </cell>
          <cell r="C212" t="str">
            <v>COMPRA POR FONDO</v>
          </cell>
          <cell r="D212">
            <v>46073</v>
          </cell>
          <cell r="E212" t="str">
            <v xml:space="preserve">DIETOLOGIA Y NUTRICION </v>
          </cell>
          <cell r="F212" t="str">
            <v>079/D/2026</v>
          </cell>
          <cell r="G212">
            <v>2231001008</v>
          </cell>
          <cell r="H212" t="str">
            <v>JARRA CON TAPADERA CAPACIDAD DE 4 LITROS MATERIAL PLASTICO COLOR ROJO</v>
          </cell>
          <cell r="I212">
            <v>100</v>
          </cell>
          <cell r="J212" t="str">
            <v>PIEZA</v>
          </cell>
          <cell r="K212">
            <v>2231</v>
          </cell>
          <cell r="L212" t="str">
            <v>N/A</v>
          </cell>
          <cell r="M212" t="str">
            <v>N/A</v>
          </cell>
          <cell r="N212" t="str">
            <v>N/A</v>
          </cell>
          <cell r="O212" t="str">
            <v>N/A</v>
          </cell>
          <cell r="P212" t="str">
            <v>BRENDA</v>
          </cell>
          <cell r="Q212">
            <v>46073</v>
          </cell>
          <cell r="R212" t="str">
            <v>AUT CAA</v>
          </cell>
          <cell r="T212" t="str">
            <v>712/2026</v>
          </cell>
          <cell r="U212">
            <v>46104</v>
          </cell>
          <cell r="V212">
            <v>75</v>
          </cell>
          <cell r="W212">
            <v>7500</v>
          </cell>
          <cell r="X212">
            <v>1200</v>
          </cell>
          <cell r="Y212">
            <v>8700</v>
          </cell>
          <cell r="Z212">
            <v>16</v>
          </cell>
          <cell r="AA212">
            <v>46106</v>
          </cell>
        </row>
        <row r="213">
          <cell r="A213" t="str">
            <v>87/2026</v>
          </cell>
          <cell r="B213">
            <v>87</v>
          </cell>
          <cell r="C213" t="str">
            <v>COMPRA POR FONDO</v>
          </cell>
          <cell r="D213">
            <v>46073</v>
          </cell>
          <cell r="E213" t="str">
            <v xml:space="preserve">DIETOLOGIA Y NUTRICION </v>
          </cell>
          <cell r="F213" t="str">
            <v>079/D/2026</v>
          </cell>
          <cell r="G213">
            <v>2111500337</v>
          </cell>
          <cell r="H213" t="str">
            <v>CUCHARA DESECHABLE MEDIANA PAQUETE/25 PZAS</v>
          </cell>
          <cell r="I213">
            <v>1400</v>
          </cell>
          <cell r="J213" t="str">
            <v>PAQUETE</v>
          </cell>
          <cell r="K213">
            <v>2111</v>
          </cell>
          <cell r="L213" t="str">
            <v>N/A</v>
          </cell>
          <cell r="M213" t="str">
            <v>N/A</v>
          </cell>
          <cell r="N213" t="str">
            <v>N/A</v>
          </cell>
          <cell r="O213" t="str">
            <v>N/A</v>
          </cell>
          <cell r="P213" t="str">
            <v>BRENDA</v>
          </cell>
          <cell r="Q213">
            <v>46073</v>
          </cell>
          <cell r="R213" t="str">
            <v>AUT CAA</v>
          </cell>
          <cell r="T213" t="str">
            <v>711/2026</v>
          </cell>
          <cell r="U213">
            <v>46104</v>
          </cell>
          <cell r="V213">
            <v>6.52</v>
          </cell>
          <cell r="W213">
            <v>9128</v>
          </cell>
          <cell r="X213">
            <v>1460.48</v>
          </cell>
          <cell r="Y213">
            <v>10588.48</v>
          </cell>
          <cell r="Z213">
            <v>16</v>
          </cell>
          <cell r="AA213">
            <v>46106</v>
          </cell>
          <cell r="AD213">
            <v>1400</v>
          </cell>
          <cell r="AE213">
            <v>145</v>
          </cell>
          <cell r="AF213">
            <v>46105</v>
          </cell>
          <cell r="AG213" t="str">
            <v>BERNARDO HERNANDEZ CLAUDIA MONTSERRATH</v>
          </cell>
        </row>
        <row r="214">
          <cell r="A214" t="str">
            <v>88/2026</v>
          </cell>
          <cell r="B214">
            <v>88</v>
          </cell>
          <cell r="C214" t="str">
            <v>SUBROGACION</v>
          </cell>
          <cell r="D214">
            <v>46073</v>
          </cell>
          <cell r="E214" t="str">
            <v>HEMATOLOGIA</v>
          </cell>
          <cell r="F214" t="str">
            <v>N/A</v>
          </cell>
          <cell r="G214">
            <v>3992100001</v>
          </cell>
          <cell r="H214" t="str">
            <v>ESTUDIO DETERMINACION DE LA MUTACION BCR-ABL1</v>
          </cell>
          <cell r="I214">
            <v>1</v>
          </cell>
          <cell r="J214" t="str">
            <v>PIEZA</v>
          </cell>
          <cell r="K214">
            <v>3992</v>
          </cell>
          <cell r="L214" t="str">
            <v>MONTES HERNANDEZ MIRNA HERNANDEZ</v>
          </cell>
          <cell r="M214">
            <v>2005430</v>
          </cell>
          <cell r="N214" t="str">
            <v>MONTES HERNANDEZ MIRNA HERNANDEZ</v>
          </cell>
          <cell r="O214">
            <v>5025913</v>
          </cell>
          <cell r="P214" t="str">
            <v>JESUS</v>
          </cell>
          <cell r="Q214">
            <v>46073</v>
          </cell>
          <cell r="R214" t="str">
            <v>RECURSOS FINANCIEROS</v>
          </cell>
          <cell r="T214" t="str">
            <v>632/2026</v>
          </cell>
          <cell r="U214">
            <v>46092</v>
          </cell>
          <cell r="V214">
            <v>4655.17</v>
          </cell>
          <cell r="W214">
            <v>4655.17</v>
          </cell>
          <cell r="X214">
            <v>744.82720000000006</v>
          </cell>
          <cell r="Y214">
            <v>5399.9971999999998</v>
          </cell>
          <cell r="Z214">
            <v>13</v>
          </cell>
          <cell r="AA214">
            <v>46093</v>
          </cell>
          <cell r="AB214">
            <v>46099</v>
          </cell>
          <cell r="AC214">
            <v>10</v>
          </cell>
        </row>
        <row r="215">
          <cell r="A215" t="str">
            <v>89/2026</v>
          </cell>
          <cell r="B215">
            <v>89</v>
          </cell>
          <cell r="C215" t="str">
            <v>COMPRA POR FONDO</v>
          </cell>
          <cell r="D215">
            <v>46071</v>
          </cell>
          <cell r="E215" t="str">
            <v>OBSTETRICIA</v>
          </cell>
          <cell r="F215" t="str">
            <v>AHCGSA/220/2026</v>
          </cell>
          <cell r="G215">
            <v>2531549039</v>
          </cell>
          <cell r="H215" t="str">
            <v>010.000.3510.00 ETONOGESTREL. IMPLANTE EL IMPLANTE CONTIENE: ETONOGESTREL 68.0 MG ENVASE CON UN IMPLANTE Y APLICADOR.</v>
          </cell>
          <cell r="I215">
            <v>100</v>
          </cell>
          <cell r="J215" t="str">
            <v>PIEZA</v>
          </cell>
          <cell r="K215">
            <v>2531</v>
          </cell>
          <cell r="L215" t="str">
            <v>N/A</v>
          </cell>
          <cell r="M215" t="str">
            <v>N/A</v>
          </cell>
          <cell r="N215" t="str">
            <v>N/A</v>
          </cell>
          <cell r="O215" t="str">
            <v>N/A</v>
          </cell>
          <cell r="P215" t="str">
            <v>BRENDA</v>
          </cell>
          <cell r="Q215">
            <v>46073</v>
          </cell>
          <cell r="R215" t="str">
            <v>COTIZACION</v>
          </cell>
        </row>
        <row r="216">
          <cell r="A216" t="str">
            <v>89/2026</v>
          </cell>
          <cell r="B216">
            <v>89</v>
          </cell>
          <cell r="C216" t="str">
            <v>COMPRA POR FONDO</v>
          </cell>
          <cell r="D216">
            <v>46071</v>
          </cell>
          <cell r="E216" t="str">
            <v>OBSTETRICIA</v>
          </cell>
          <cell r="F216" t="str">
            <v>AHCGSA/220/2026</v>
          </cell>
          <cell r="G216">
            <v>2531563007</v>
          </cell>
          <cell r="H216" t="str">
            <v>010.000.2208.00 LEVONORGESTREL. POLVO EL DISPOSITIVO CON POLVO CONTIENE: LEVONORGESTREL (MICRONIZADO) 52 MG ENVASE CON UN DISPOSITIVO.</v>
          </cell>
          <cell r="I216">
            <v>200</v>
          </cell>
          <cell r="J216" t="str">
            <v>ENVASE</v>
          </cell>
          <cell r="K216">
            <v>2531</v>
          </cell>
          <cell r="L216" t="str">
            <v>N/A</v>
          </cell>
          <cell r="M216" t="str">
            <v>N/A</v>
          </cell>
          <cell r="N216" t="str">
            <v>N/A</v>
          </cell>
          <cell r="O216" t="str">
            <v>N/A</v>
          </cell>
          <cell r="P216" t="str">
            <v>BRENDA</v>
          </cell>
          <cell r="Q216">
            <v>46073</v>
          </cell>
          <cell r="R216" t="str">
            <v>COTIZACION</v>
          </cell>
        </row>
        <row r="217">
          <cell r="A217" t="str">
            <v>89/2026</v>
          </cell>
          <cell r="B217">
            <v>89</v>
          </cell>
          <cell r="C217" t="str">
            <v>COMPRA POR FONDO</v>
          </cell>
          <cell r="D217">
            <v>46071</v>
          </cell>
          <cell r="E217" t="str">
            <v>OBSTETRICIA</v>
          </cell>
          <cell r="F217" t="str">
            <v>AHCGSA/220/2026</v>
          </cell>
          <cell r="G217">
            <v>2531534089</v>
          </cell>
          <cell r="H217" t="str">
            <v>010.000.6160.00 LEVONORGESTREL. POLVO. EL DISPOSITIVO INTRAUTERINO CON POLVO CONTIENE: LEVONORGESTREL 19.5 MG ENVASE CON UN DISPOSITIVO INTRAUTERINO</v>
          </cell>
          <cell r="I217">
            <v>100</v>
          </cell>
          <cell r="J217" t="str">
            <v>PIEZA</v>
          </cell>
          <cell r="K217">
            <v>2531</v>
          </cell>
          <cell r="L217" t="str">
            <v>N/A</v>
          </cell>
          <cell r="M217" t="str">
            <v>N/A</v>
          </cell>
          <cell r="N217" t="str">
            <v>N/A</v>
          </cell>
          <cell r="O217" t="str">
            <v>N/A</v>
          </cell>
          <cell r="P217" t="str">
            <v>BRENDA</v>
          </cell>
          <cell r="Q217">
            <v>46073</v>
          </cell>
          <cell r="R217" t="str">
            <v>COTIZACION</v>
          </cell>
        </row>
        <row r="218">
          <cell r="A218" t="str">
            <v>89/2026</v>
          </cell>
          <cell r="B218">
            <v>89</v>
          </cell>
          <cell r="C218" t="str">
            <v>COMPRA POR FONDO</v>
          </cell>
          <cell r="D218">
            <v>46071</v>
          </cell>
          <cell r="E218" t="str">
            <v>OBSTETRICIA</v>
          </cell>
          <cell r="F218" t="str">
            <v>AHCGSA/220/2026</v>
          </cell>
          <cell r="G218">
            <v>2531524041</v>
          </cell>
          <cell r="H218" t="str">
            <v>010.000.6075.00 LEVONORGESTREL. IMPLANTE CADA IMPLANTE CONTIENE: LEVONORGESTREL 75.0 MG ENVASE CON 2 IMPLANTES Y UNA CAJA CON UN TRÓCAR E INSTRUCTIVOS ANEXOS.</v>
          </cell>
          <cell r="I218">
            <v>100</v>
          </cell>
          <cell r="J218" t="str">
            <v>ENVASE</v>
          </cell>
          <cell r="K218">
            <v>2531</v>
          </cell>
          <cell r="L218" t="str">
            <v>N/A</v>
          </cell>
          <cell r="M218" t="str">
            <v>N/A</v>
          </cell>
          <cell r="N218" t="str">
            <v>N/A</v>
          </cell>
          <cell r="O218" t="str">
            <v>N/A</v>
          </cell>
          <cell r="P218" t="str">
            <v>BRENDA</v>
          </cell>
          <cell r="Q218">
            <v>46073</v>
          </cell>
          <cell r="R218" t="str">
            <v>COTIZACION</v>
          </cell>
        </row>
        <row r="219">
          <cell r="A219" t="str">
            <v>90/2026</v>
          </cell>
          <cell r="B219">
            <v>90</v>
          </cell>
          <cell r="C219" t="str">
            <v>COMPRA POR FONDO</v>
          </cell>
          <cell r="D219">
            <v>46083</v>
          </cell>
          <cell r="E219" t="str">
            <v>INGENIERIA BIOMEDICA</v>
          </cell>
          <cell r="F219" t="str">
            <v>FDIB/44/2026</v>
          </cell>
          <cell r="G219">
            <v>2951007286</v>
          </cell>
          <cell r="H219" t="str">
            <v xml:space="preserve">SET CONTENEDOR DE AGUA CON BASE DE SILICON PARA FUENTES DE LUZ SERIES 140/145/150/160/180/190 PARA EQUIPO MARCA OLYMPUS MODELO MAJ 901 </v>
          </cell>
          <cell r="I219">
            <v>5</v>
          </cell>
          <cell r="J219" t="str">
            <v>PIEZA</v>
          </cell>
          <cell r="K219">
            <v>2951</v>
          </cell>
          <cell r="L219" t="str">
            <v>N/A</v>
          </cell>
          <cell r="M219" t="str">
            <v>N/A</v>
          </cell>
          <cell r="N219" t="str">
            <v>N/A</v>
          </cell>
          <cell r="O219" t="str">
            <v>N/A</v>
          </cell>
          <cell r="P219" t="str">
            <v>BRENDA</v>
          </cell>
          <cell r="Q219">
            <v>46084</v>
          </cell>
          <cell r="R219" t="str">
            <v>RECURSOS FINANCIEROS</v>
          </cell>
          <cell r="T219" t="str">
            <v>630/2026</v>
          </cell>
          <cell r="U219">
            <v>46092</v>
          </cell>
          <cell r="V219">
            <v>10005</v>
          </cell>
          <cell r="W219">
            <v>50025</v>
          </cell>
          <cell r="X219">
            <v>8004</v>
          </cell>
          <cell r="Y219">
            <v>58029</v>
          </cell>
          <cell r="Z219">
            <v>13</v>
          </cell>
          <cell r="AA219">
            <v>46093</v>
          </cell>
          <cell r="AB219">
            <v>46099</v>
          </cell>
          <cell r="AC219">
            <v>10</v>
          </cell>
          <cell r="AD219">
            <v>5</v>
          </cell>
          <cell r="AE219">
            <v>129</v>
          </cell>
          <cell r="AF219">
            <v>46099</v>
          </cell>
          <cell r="AG219" t="str">
            <v>SOMOS PARTE DE TU EQUIPO SA DE CV</v>
          </cell>
        </row>
        <row r="220">
          <cell r="A220" t="str">
            <v>91/2026</v>
          </cell>
          <cell r="B220">
            <v>91</v>
          </cell>
          <cell r="C220" t="str">
            <v>SUBROGACION</v>
          </cell>
          <cell r="D220">
            <v>46076</v>
          </cell>
          <cell r="E220" t="str">
            <v>ARTROSCOPIA Y MEDICINA INTERNA</v>
          </cell>
          <cell r="F220" t="str">
            <v>N/A</v>
          </cell>
          <cell r="G220">
            <v>3992100001</v>
          </cell>
          <cell r="H220" t="str">
            <v>RENTA  DE ARTROSCOPIO</v>
          </cell>
          <cell r="I220">
            <v>1</v>
          </cell>
          <cell r="J220" t="str">
            <v>SERVICIO</v>
          </cell>
          <cell r="K220">
            <v>3992</v>
          </cell>
          <cell r="L220" t="str">
            <v>EVERARDO HERNANDEZ RUVALCABA</v>
          </cell>
          <cell r="M220">
            <v>2002133</v>
          </cell>
          <cell r="N220" t="str">
            <v>EVERARDO HERNANDEZ RUVALCABA</v>
          </cell>
          <cell r="O220">
            <v>9106524</v>
          </cell>
          <cell r="P220" t="str">
            <v>JESUS</v>
          </cell>
          <cell r="Q220">
            <v>46076</v>
          </cell>
          <cell r="R220" t="str">
            <v>RECURSOS FINANCIEROS</v>
          </cell>
          <cell r="T220" t="str">
            <v>634/2026</v>
          </cell>
          <cell r="U220">
            <v>46092</v>
          </cell>
          <cell r="V220">
            <v>2900</v>
          </cell>
          <cell r="W220">
            <v>2900</v>
          </cell>
          <cell r="X220">
            <v>464</v>
          </cell>
          <cell r="Y220">
            <v>3364</v>
          </cell>
          <cell r="Z220">
            <v>13</v>
          </cell>
          <cell r="AA220">
            <v>46093</v>
          </cell>
          <cell r="AB220">
            <v>46100</v>
          </cell>
          <cell r="AC220">
            <v>11</v>
          </cell>
          <cell r="AD220" t="str">
            <v>N/A</v>
          </cell>
          <cell r="AE220" t="str">
            <v>CARTA COMPROMISO</v>
          </cell>
          <cell r="AG220" t="str">
            <v>ARTURO GUTIERREZ JAQUEZ</v>
          </cell>
        </row>
        <row r="221">
          <cell r="A221" t="str">
            <v>91/2026</v>
          </cell>
          <cell r="B221">
            <v>91</v>
          </cell>
          <cell r="C221" t="str">
            <v>SUBROGACION</v>
          </cell>
          <cell r="D221">
            <v>46076</v>
          </cell>
          <cell r="E221" t="str">
            <v>ARTROSCOPIA Y MEDICINA INTERNA</v>
          </cell>
          <cell r="F221" t="str">
            <v>N/A</v>
          </cell>
          <cell r="G221">
            <v>3992100001</v>
          </cell>
          <cell r="H221" t="str">
            <v>BOMBA DE IRRIGACION</v>
          </cell>
          <cell r="I221">
            <v>1</v>
          </cell>
          <cell r="J221" t="str">
            <v>SERVICIO</v>
          </cell>
          <cell r="K221">
            <v>3992</v>
          </cell>
          <cell r="L221" t="str">
            <v>EVERARDO HERNANDEZ RUVALCABA</v>
          </cell>
          <cell r="M221">
            <v>2002133</v>
          </cell>
          <cell r="N221" t="str">
            <v>EVERARDO HERNANDEZ RUVALCABA</v>
          </cell>
          <cell r="O221">
            <v>9106524</v>
          </cell>
          <cell r="P221" t="str">
            <v>JESUS</v>
          </cell>
          <cell r="Q221">
            <v>46076</v>
          </cell>
          <cell r="R221" t="str">
            <v>RECURSOS FINANCIEROS</v>
          </cell>
          <cell r="T221" t="str">
            <v>634/2026</v>
          </cell>
          <cell r="U221">
            <v>46092</v>
          </cell>
          <cell r="V221">
            <v>0</v>
          </cell>
          <cell r="W221">
            <v>0</v>
          </cell>
          <cell r="X221">
            <v>0</v>
          </cell>
          <cell r="Y221">
            <v>0</v>
          </cell>
          <cell r="Z221">
            <v>13</v>
          </cell>
          <cell r="AA221">
            <v>46093</v>
          </cell>
          <cell r="AB221">
            <v>46100</v>
          </cell>
          <cell r="AC221">
            <v>11</v>
          </cell>
          <cell r="AD221" t="str">
            <v>N/A</v>
          </cell>
          <cell r="AE221" t="str">
            <v>CARTA COMPROMISO</v>
          </cell>
          <cell r="AG221" t="str">
            <v>ARTURO GUTIERREZ JAQUEZ</v>
          </cell>
        </row>
        <row r="222">
          <cell r="A222" t="str">
            <v>91/2026</v>
          </cell>
          <cell r="B222">
            <v>91</v>
          </cell>
          <cell r="C222" t="str">
            <v>SUBROGACION</v>
          </cell>
          <cell r="D222">
            <v>46076</v>
          </cell>
          <cell r="E222" t="str">
            <v>ARTROSCOPIA Y MEDICINA INTERNA</v>
          </cell>
          <cell r="F222" t="str">
            <v>N/A</v>
          </cell>
          <cell r="G222">
            <v>3992100001</v>
          </cell>
          <cell r="H222" t="str">
            <v>RENTA DE SIS TEMA OATS</v>
          </cell>
          <cell r="I222">
            <v>1</v>
          </cell>
          <cell r="J222" t="str">
            <v>SERVICIO</v>
          </cell>
          <cell r="K222">
            <v>3992</v>
          </cell>
          <cell r="L222" t="str">
            <v>EVERARDO HERNANDEZ RUVALCABA</v>
          </cell>
          <cell r="M222">
            <v>2002133</v>
          </cell>
          <cell r="N222" t="str">
            <v>EVERARDO HERNANDEZ RUVALCABA</v>
          </cell>
          <cell r="O222">
            <v>9106524</v>
          </cell>
          <cell r="P222" t="str">
            <v>JESUS</v>
          </cell>
          <cell r="Q222">
            <v>46076</v>
          </cell>
          <cell r="R222" t="str">
            <v>RECURSOS FINANCIEROS</v>
          </cell>
          <cell r="T222" t="str">
            <v>634/2026</v>
          </cell>
          <cell r="U222">
            <v>46092</v>
          </cell>
          <cell r="V222">
            <v>2500</v>
          </cell>
          <cell r="W222">
            <v>2500</v>
          </cell>
          <cell r="X222">
            <v>400</v>
          </cell>
          <cell r="Y222">
            <v>2900</v>
          </cell>
          <cell r="Z222">
            <v>13</v>
          </cell>
          <cell r="AA222">
            <v>46093</v>
          </cell>
          <cell r="AB222">
            <v>46100</v>
          </cell>
          <cell r="AC222">
            <v>11</v>
          </cell>
          <cell r="AD222" t="str">
            <v>N/A</v>
          </cell>
          <cell r="AE222" t="str">
            <v>CARTA COMPROMISO</v>
          </cell>
          <cell r="AG222" t="str">
            <v>ARTURO GUTIERREZ JAQUEZ</v>
          </cell>
        </row>
        <row r="223">
          <cell r="A223" t="str">
            <v>92/2026</v>
          </cell>
          <cell r="B223">
            <v>92</v>
          </cell>
          <cell r="C223" t="str">
            <v>REEMBOLSO</v>
          </cell>
          <cell r="D223">
            <v>46076</v>
          </cell>
          <cell r="E223" t="str">
            <v>CIRUGIA GENERAL</v>
          </cell>
          <cell r="F223" t="str">
            <v>N/A</v>
          </cell>
          <cell r="G223">
            <v>3992100001</v>
          </cell>
          <cell r="H223" t="str">
            <v>RENTA DE LAPAROSCOPIA</v>
          </cell>
          <cell r="I223">
            <v>1</v>
          </cell>
          <cell r="J223" t="str">
            <v>SERVICIO</v>
          </cell>
          <cell r="K223">
            <v>3992</v>
          </cell>
          <cell r="L223" t="str">
            <v>SARA PATRICIA GUERRERO DELGADO</v>
          </cell>
          <cell r="M223">
            <v>2010133</v>
          </cell>
          <cell r="N223" t="str">
            <v>ROSA DELGADO GUZMAN</v>
          </cell>
          <cell r="O223">
            <v>10093138</v>
          </cell>
          <cell r="P223" t="str">
            <v>JESUS</v>
          </cell>
          <cell r="Q223">
            <v>46076</v>
          </cell>
          <cell r="R223" t="str">
            <v>COTIZACION</v>
          </cell>
        </row>
        <row r="224">
          <cell r="A224" t="str">
            <v>93/2026</v>
          </cell>
          <cell r="B224">
            <v>93</v>
          </cell>
          <cell r="C224" t="str">
            <v>SUBROGACION</v>
          </cell>
          <cell r="D224">
            <v>46077</v>
          </cell>
          <cell r="E224" t="str">
            <v>ARTOSCOPIA Y MEDICINA DEPORTIVA</v>
          </cell>
          <cell r="F224" t="str">
            <v>N/A</v>
          </cell>
          <cell r="G224">
            <v>3992100001</v>
          </cell>
          <cell r="H224" t="str">
            <v>RENTA DE ARTOSCOPIO</v>
          </cell>
          <cell r="I224">
            <v>1</v>
          </cell>
          <cell r="J224" t="str">
            <v>SERVICIO</v>
          </cell>
          <cell r="K224">
            <v>3992</v>
          </cell>
          <cell r="L224" t="str">
            <v>MARTINEZ GONZALEZ BLANCA ESTELA</v>
          </cell>
        </row>
        <row r="225">
          <cell r="A225" t="str">
            <v>94/2026</v>
          </cell>
          <cell r="B225">
            <v>94</v>
          </cell>
          <cell r="C225" t="str">
            <v>COMPRA POR FONDO</v>
          </cell>
          <cell r="D225">
            <v>46077</v>
          </cell>
          <cell r="E225" t="str">
            <v>GINECOLOGIA Y OBSTETRICIA</v>
          </cell>
          <cell r="F225" t="str">
            <v>AHCGSA/253/2026</v>
          </cell>
          <cell r="G225">
            <v>2541043002</v>
          </cell>
          <cell r="H225" t="str">
            <v>ESPEJO VAGINAL DESECHABLE MEDIANO ESTERIL PIEZA</v>
          </cell>
          <cell r="I225">
            <v>1700</v>
          </cell>
          <cell r="J225" t="str">
            <v>PIEZA</v>
          </cell>
          <cell r="K225">
            <v>2541</v>
          </cell>
          <cell r="L225" t="str">
            <v>N/A</v>
          </cell>
          <cell r="M225" t="str">
            <v>N/A</v>
          </cell>
          <cell r="N225" t="str">
            <v>N/A</v>
          </cell>
          <cell r="O225" t="str">
            <v>N/A</v>
          </cell>
          <cell r="P225" t="str">
            <v>BRENDA</v>
          </cell>
          <cell r="Q225">
            <v>46077</v>
          </cell>
          <cell r="R225" t="str">
            <v>RECURSOS FINANCIEROS</v>
          </cell>
          <cell r="T225" t="str">
            <v>583/2026</v>
          </cell>
          <cell r="U225">
            <v>46085</v>
          </cell>
          <cell r="V225">
            <v>12.86</v>
          </cell>
          <cell r="W225">
            <v>64621.5</v>
          </cell>
          <cell r="X225">
            <v>10339.44</v>
          </cell>
          <cell r="Y225">
            <v>74960.94</v>
          </cell>
          <cell r="Z225">
            <v>11</v>
          </cell>
          <cell r="AA225">
            <v>46090</v>
          </cell>
          <cell r="AB225">
            <v>46092</v>
          </cell>
          <cell r="AC225">
            <v>9</v>
          </cell>
          <cell r="AD225">
            <v>5025</v>
          </cell>
          <cell r="AE225">
            <v>127</v>
          </cell>
          <cell r="AF225">
            <v>46098</v>
          </cell>
          <cell r="AG225" t="str">
            <v>PROMEDICA GARCIA SA DE CV</v>
          </cell>
          <cell r="AH225" t="str">
            <v>ENTREGADO</v>
          </cell>
          <cell r="AI225">
            <v>46101</v>
          </cell>
          <cell r="AJ225">
            <v>454753</v>
          </cell>
          <cell r="AK225">
            <v>46104</v>
          </cell>
        </row>
        <row r="226">
          <cell r="A226" t="str">
            <v>95/2026</v>
          </cell>
          <cell r="B226">
            <v>95</v>
          </cell>
          <cell r="C226" t="str">
            <v>REEMBOLSO</v>
          </cell>
          <cell r="D226">
            <v>46076</v>
          </cell>
          <cell r="E226" t="str">
            <v>UROLOGIA</v>
          </cell>
          <cell r="F226" t="str">
            <v>N/A</v>
          </cell>
          <cell r="G226">
            <v>3992100001</v>
          </cell>
          <cell r="H226" t="str">
            <v>TORRE ENDOSCOPIA</v>
          </cell>
          <cell r="I226">
            <v>1</v>
          </cell>
          <cell r="J226" t="str">
            <v>SERVICIO</v>
          </cell>
          <cell r="K226">
            <v>3992</v>
          </cell>
          <cell r="L226" t="str">
            <v>ABUNDIS MOTA CLAUDIA</v>
          </cell>
          <cell r="M226">
            <v>2004248</v>
          </cell>
          <cell r="N226" t="str">
            <v>ABUNDIS MOTA CLAUDIA</v>
          </cell>
          <cell r="O226">
            <v>6051127</v>
          </cell>
          <cell r="P226" t="str">
            <v>JESUS</v>
          </cell>
          <cell r="Q226">
            <v>46080</v>
          </cell>
          <cell r="R226" t="str">
            <v>COTIZACION</v>
          </cell>
          <cell r="V226">
            <v>13000</v>
          </cell>
          <cell r="W226">
            <v>13000</v>
          </cell>
          <cell r="X226">
            <v>2080</v>
          </cell>
          <cell r="Y226">
            <v>15080</v>
          </cell>
          <cell r="AG226" t="str">
            <v>AVANTPROMEDIC</v>
          </cell>
          <cell r="AH226" t="str">
            <v>ENTREGADO</v>
          </cell>
          <cell r="AI226" t="str">
            <v>N/A</v>
          </cell>
          <cell r="AJ226" t="str">
            <v>02084E</v>
          </cell>
          <cell r="AK226">
            <v>46077</v>
          </cell>
        </row>
        <row r="227">
          <cell r="A227" t="str">
            <v>95/2026</v>
          </cell>
          <cell r="B227">
            <v>95</v>
          </cell>
          <cell r="C227" t="str">
            <v>REEMBOLSO</v>
          </cell>
          <cell r="D227">
            <v>46076</v>
          </cell>
          <cell r="E227" t="str">
            <v>UROLOGIA</v>
          </cell>
          <cell r="F227" t="str">
            <v>N/A</v>
          </cell>
          <cell r="G227">
            <v>3992100001</v>
          </cell>
          <cell r="H227" t="str">
            <v xml:space="preserve">URETROSCOPIO FLEXIBLE </v>
          </cell>
          <cell r="I227">
            <v>1</v>
          </cell>
          <cell r="J227" t="str">
            <v>SERVICIO</v>
          </cell>
          <cell r="K227">
            <v>3992</v>
          </cell>
          <cell r="L227" t="str">
            <v>ABUNDIS MOTA CLAUDIA</v>
          </cell>
          <cell r="M227">
            <v>2004248</v>
          </cell>
          <cell r="N227" t="str">
            <v>ABUNDIS MOTA CLAUDIA</v>
          </cell>
          <cell r="O227">
            <v>6051127</v>
          </cell>
          <cell r="P227" t="str">
            <v>JESUS</v>
          </cell>
          <cell r="Q227">
            <v>46080</v>
          </cell>
          <cell r="R227" t="str">
            <v>COTIZACION</v>
          </cell>
          <cell r="V227">
            <v>0</v>
          </cell>
          <cell r="W227">
            <v>0</v>
          </cell>
          <cell r="X227">
            <v>0</v>
          </cell>
          <cell r="Y227">
            <v>0</v>
          </cell>
          <cell r="AG227" t="str">
            <v>AVANTPROMEDIC</v>
          </cell>
          <cell r="AH227" t="str">
            <v>ENTREGADO</v>
          </cell>
          <cell r="AI227" t="str">
            <v>N/A</v>
          </cell>
          <cell r="AJ227" t="str">
            <v>02084E</v>
          </cell>
          <cell r="AK227">
            <v>46077</v>
          </cell>
        </row>
        <row r="228">
          <cell r="A228" t="str">
            <v>95/2026</v>
          </cell>
          <cell r="B228">
            <v>95</v>
          </cell>
          <cell r="C228" t="str">
            <v>REEMBOLSO</v>
          </cell>
          <cell r="D228">
            <v>46076</v>
          </cell>
          <cell r="E228" t="str">
            <v>UROLOGIA</v>
          </cell>
          <cell r="F228" t="str">
            <v>N/A</v>
          </cell>
          <cell r="G228">
            <v>3992100001</v>
          </cell>
          <cell r="H228" t="str">
            <v>LASER DE HOLMIO</v>
          </cell>
          <cell r="I228">
            <v>1</v>
          </cell>
          <cell r="J228" t="str">
            <v>SERVICIO</v>
          </cell>
          <cell r="K228">
            <v>3992</v>
          </cell>
          <cell r="L228" t="str">
            <v>ABUNDIS MOTA CLAUDIA</v>
          </cell>
          <cell r="M228">
            <v>2004248</v>
          </cell>
          <cell r="N228" t="str">
            <v>ABUNDIS MOTA CLAUDIA</v>
          </cell>
          <cell r="O228">
            <v>6051127</v>
          </cell>
          <cell r="P228" t="str">
            <v>JESUS</v>
          </cell>
          <cell r="Q228">
            <v>46080</v>
          </cell>
          <cell r="R228" t="str">
            <v>COTIZACION</v>
          </cell>
          <cell r="V228">
            <v>0</v>
          </cell>
          <cell r="W228">
            <v>0</v>
          </cell>
          <cell r="X228">
            <v>0</v>
          </cell>
          <cell r="Y228">
            <v>0</v>
          </cell>
          <cell r="AG228" t="str">
            <v>AVANTPROMEDIC</v>
          </cell>
          <cell r="AH228" t="str">
            <v>ENTREGADO</v>
          </cell>
          <cell r="AI228" t="str">
            <v>N/A</v>
          </cell>
          <cell r="AJ228" t="str">
            <v>02084E</v>
          </cell>
          <cell r="AK228">
            <v>46077</v>
          </cell>
        </row>
        <row r="229">
          <cell r="A229" t="str">
            <v>95/2026</v>
          </cell>
          <cell r="B229">
            <v>95</v>
          </cell>
          <cell r="C229" t="str">
            <v>REEMBOLSO</v>
          </cell>
          <cell r="D229">
            <v>46076</v>
          </cell>
          <cell r="E229" t="str">
            <v>UROLOGIA</v>
          </cell>
          <cell r="F229" t="str">
            <v>N/A</v>
          </cell>
          <cell r="G229">
            <v>3992100001</v>
          </cell>
          <cell r="H229" t="str">
            <v>CAMISAS URETRALES</v>
          </cell>
          <cell r="I229">
            <v>1</v>
          </cell>
          <cell r="J229" t="str">
            <v>PIEZA</v>
          </cell>
          <cell r="K229">
            <v>3992</v>
          </cell>
          <cell r="L229" t="str">
            <v>ABUNDIS MOTA CLAUDIA</v>
          </cell>
          <cell r="M229">
            <v>2004248</v>
          </cell>
          <cell r="N229" t="str">
            <v>ABUNDIS MOTA CLAUDIA</v>
          </cell>
          <cell r="O229">
            <v>6051127</v>
          </cell>
          <cell r="P229" t="str">
            <v>JESUS</v>
          </cell>
          <cell r="Q229" t="str">
            <v>27/092/2026</v>
          </cell>
          <cell r="R229" t="str">
            <v>COTIZACION</v>
          </cell>
          <cell r="V229">
            <v>0</v>
          </cell>
          <cell r="W229">
            <v>0</v>
          </cell>
          <cell r="X229">
            <v>0</v>
          </cell>
          <cell r="Y229">
            <v>0</v>
          </cell>
          <cell r="AG229" t="str">
            <v>AVANTPROMEDIC</v>
          </cell>
          <cell r="AH229" t="str">
            <v>ENTREGADO</v>
          </cell>
          <cell r="AI229" t="str">
            <v>N/A</v>
          </cell>
          <cell r="AJ229" t="str">
            <v>02084E</v>
          </cell>
          <cell r="AK229">
            <v>46077</v>
          </cell>
        </row>
        <row r="230">
          <cell r="A230" t="str">
            <v>95/2026</v>
          </cell>
          <cell r="B230">
            <v>95</v>
          </cell>
          <cell r="C230" t="str">
            <v>REEMBOLSO</v>
          </cell>
          <cell r="D230">
            <v>46076</v>
          </cell>
          <cell r="E230" t="str">
            <v>UROLOGIA</v>
          </cell>
          <cell r="F230" t="str">
            <v>N/A</v>
          </cell>
          <cell r="G230">
            <v>3992100001</v>
          </cell>
          <cell r="H230" t="str">
            <v>GUIAS HIDROFILICAS</v>
          </cell>
          <cell r="I230">
            <v>1</v>
          </cell>
          <cell r="J230" t="str">
            <v>PIEZA</v>
          </cell>
          <cell r="K230">
            <v>3992</v>
          </cell>
          <cell r="L230" t="str">
            <v>ABUNDIS MOTA CLAUDIA</v>
          </cell>
          <cell r="M230">
            <v>2004248</v>
          </cell>
          <cell r="N230" t="str">
            <v>ABUNDIS MOTA CLAUDIA</v>
          </cell>
          <cell r="O230">
            <v>6051127</v>
          </cell>
          <cell r="P230" t="str">
            <v>JESUS</v>
          </cell>
          <cell r="Q230">
            <v>46080</v>
          </cell>
          <cell r="R230" t="str">
            <v>COTIZACION</v>
          </cell>
          <cell r="V230">
            <v>0</v>
          </cell>
          <cell r="W230">
            <v>0</v>
          </cell>
          <cell r="X230">
            <v>0</v>
          </cell>
          <cell r="Y230">
            <v>0</v>
          </cell>
          <cell r="AG230" t="str">
            <v>AVANTPROMEDIC</v>
          </cell>
          <cell r="AH230" t="str">
            <v>ENTREGADO</v>
          </cell>
          <cell r="AI230" t="str">
            <v>N/A</v>
          </cell>
          <cell r="AJ230" t="str">
            <v>02084E</v>
          </cell>
          <cell r="AK230">
            <v>46077</v>
          </cell>
        </row>
        <row r="231">
          <cell r="A231" t="str">
            <v>96/2026</v>
          </cell>
          <cell r="B231">
            <v>96</v>
          </cell>
          <cell r="C231" t="str">
            <v>REEMBOLSO</v>
          </cell>
          <cell r="D231">
            <v>46051</v>
          </cell>
          <cell r="E231" t="str">
            <v>ORTOPEDIA Y TRAUMA</v>
          </cell>
          <cell r="F231" t="str">
            <v>N/A</v>
          </cell>
          <cell r="G231">
            <v>3992100001</v>
          </cell>
          <cell r="H231" t="str">
            <v>SUTURAS PDS</v>
          </cell>
          <cell r="I231">
            <v>2</v>
          </cell>
          <cell r="J231" t="str">
            <v>PIEZA</v>
          </cell>
          <cell r="K231">
            <v>3992</v>
          </cell>
          <cell r="L231" t="str">
            <v>HERNANDEZ AGUILAR GABRIELA</v>
          </cell>
          <cell r="M231">
            <v>981164</v>
          </cell>
          <cell r="N231" t="str">
            <v>HERNANDEZ AGUILAR GABRIELA</v>
          </cell>
          <cell r="O231">
            <v>5009904</v>
          </cell>
          <cell r="P231" t="str">
            <v>JESUS</v>
          </cell>
          <cell r="Q231">
            <v>46078</v>
          </cell>
          <cell r="R231" t="str">
            <v>COTIZACION</v>
          </cell>
          <cell r="T231" t="str">
            <v>696/2026</v>
          </cell>
          <cell r="U231">
            <v>46101</v>
          </cell>
          <cell r="V231">
            <v>7600</v>
          </cell>
          <cell r="W231">
            <v>7600</v>
          </cell>
          <cell r="X231">
            <v>1216</v>
          </cell>
          <cell r="Y231">
            <v>8816</v>
          </cell>
          <cell r="AG231" t="str">
            <v>ARTURO GUTIERREZ JAQUEZ</v>
          </cell>
          <cell r="AH231" t="str">
            <v>ENTREGADO</v>
          </cell>
          <cell r="AI231" t="str">
            <v>N/A</v>
          </cell>
          <cell r="AK231">
            <v>46077</v>
          </cell>
        </row>
        <row r="232">
          <cell r="A232" t="str">
            <v>96/2026</v>
          </cell>
          <cell r="B232">
            <v>96</v>
          </cell>
          <cell r="C232" t="str">
            <v>REEMBOLSO</v>
          </cell>
          <cell r="D232">
            <v>46051</v>
          </cell>
          <cell r="E232" t="str">
            <v>ORTOPEDIA Y TRAUMA</v>
          </cell>
          <cell r="F232" t="str">
            <v>N/A</v>
          </cell>
          <cell r="G232">
            <v>3992100001</v>
          </cell>
          <cell r="H232" t="str">
            <v>TORRE DE ARTROSCOPIO</v>
          </cell>
          <cell r="I232">
            <v>1</v>
          </cell>
          <cell r="J232" t="str">
            <v>SERVICIO</v>
          </cell>
          <cell r="K232">
            <v>3992</v>
          </cell>
          <cell r="L232" t="str">
            <v>HERNANDEZ AGUILAR GABRIELA</v>
          </cell>
          <cell r="M232">
            <v>981164</v>
          </cell>
          <cell r="N232" t="str">
            <v>HERNANDEZ AGUILAR GABRIELA</v>
          </cell>
          <cell r="O232">
            <v>5009904</v>
          </cell>
          <cell r="P232" t="str">
            <v>JESUS</v>
          </cell>
          <cell r="Q232">
            <v>46078</v>
          </cell>
          <cell r="R232" t="str">
            <v>COTIZACION</v>
          </cell>
          <cell r="T232" t="str">
            <v>696/2026</v>
          </cell>
          <cell r="U232">
            <v>46101</v>
          </cell>
          <cell r="V232">
            <v>0</v>
          </cell>
          <cell r="W232">
            <v>0</v>
          </cell>
          <cell r="X232">
            <v>0</v>
          </cell>
          <cell r="Y232">
            <v>0</v>
          </cell>
          <cell r="AG232" t="str">
            <v>ARTURO GUTIERREZ JAQUEZ</v>
          </cell>
          <cell r="AH232" t="str">
            <v>ENTREGADO</v>
          </cell>
          <cell r="AI232" t="str">
            <v>N/A</v>
          </cell>
          <cell r="AK232">
            <v>46077</v>
          </cell>
        </row>
        <row r="233">
          <cell r="A233" t="str">
            <v>96/2026</v>
          </cell>
          <cell r="B233">
            <v>96</v>
          </cell>
          <cell r="C233" t="str">
            <v>REEMBOLSO</v>
          </cell>
          <cell r="D233">
            <v>46051</v>
          </cell>
          <cell r="E233" t="str">
            <v>ORTOPEDIA Y TRAUMA</v>
          </cell>
          <cell r="F233" t="str">
            <v>N/A</v>
          </cell>
          <cell r="G233">
            <v>3992100001</v>
          </cell>
          <cell r="H233" t="str">
            <v>SPYDER Y CONTRASPYDER</v>
          </cell>
          <cell r="I233">
            <v>1</v>
          </cell>
          <cell r="J233" t="str">
            <v>SERVICIO</v>
          </cell>
          <cell r="K233">
            <v>3992</v>
          </cell>
          <cell r="L233" t="str">
            <v>HERNANDEZ AGUILAR GABRIELA</v>
          </cell>
          <cell r="M233">
            <v>981164</v>
          </cell>
          <cell r="N233" t="str">
            <v>HERNANDEZ AGUILAR GABRIELA</v>
          </cell>
          <cell r="O233">
            <v>5009904</v>
          </cell>
          <cell r="P233" t="str">
            <v>JESUS</v>
          </cell>
          <cell r="Q233">
            <v>46078</v>
          </cell>
          <cell r="R233" t="str">
            <v>COTIZACION</v>
          </cell>
          <cell r="T233" t="str">
            <v>696/2026</v>
          </cell>
          <cell r="U233">
            <v>46101</v>
          </cell>
          <cell r="V233">
            <v>0</v>
          </cell>
          <cell r="W233">
            <v>0</v>
          </cell>
          <cell r="X233">
            <v>0</v>
          </cell>
          <cell r="Y233">
            <v>0</v>
          </cell>
          <cell r="AG233" t="str">
            <v>ARTURO GUTIERREZ JAQUEZ</v>
          </cell>
          <cell r="AH233" t="str">
            <v>ENTREGADO</v>
          </cell>
          <cell r="AI233" t="str">
            <v>N/A</v>
          </cell>
          <cell r="AK233">
            <v>46077</v>
          </cell>
        </row>
        <row r="234">
          <cell r="A234" t="str">
            <v>96/2026</v>
          </cell>
          <cell r="B234">
            <v>96</v>
          </cell>
          <cell r="C234" t="str">
            <v>REEMBOLSO</v>
          </cell>
          <cell r="D234">
            <v>46051</v>
          </cell>
          <cell r="E234" t="str">
            <v>ORTOPEDIA Y TRAUMA</v>
          </cell>
          <cell r="F234" t="str">
            <v>N/A</v>
          </cell>
          <cell r="G234">
            <v>3992100001</v>
          </cell>
          <cell r="H234" t="str">
            <v>LENTE 2.7</v>
          </cell>
          <cell r="I234">
            <v>1</v>
          </cell>
          <cell r="J234" t="str">
            <v>PIEZA</v>
          </cell>
          <cell r="K234">
            <v>3992</v>
          </cell>
          <cell r="L234" t="str">
            <v>HERNANDEZ AGUILAR GABRIELA</v>
          </cell>
          <cell r="M234">
            <v>981164</v>
          </cell>
          <cell r="N234" t="str">
            <v>HERNANDEZ AGUILAR GABRIELA</v>
          </cell>
          <cell r="O234">
            <v>5009904</v>
          </cell>
          <cell r="P234" t="str">
            <v>JESUS</v>
          </cell>
          <cell r="Q234">
            <v>46078</v>
          </cell>
          <cell r="R234" t="str">
            <v>COTIZACION</v>
          </cell>
          <cell r="T234" t="str">
            <v>696/2026</v>
          </cell>
          <cell r="U234">
            <v>46101</v>
          </cell>
          <cell r="V234">
            <v>0</v>
          </cell>
          <cell r="W234">
            <v>0</v>
          </cell>
          <cell r="X234">
            <v>0</v>
          </cell>
          <cell r="Y234">
            <v>0</v>
          </cell>
          <cell r="AG234" t="str">
            <v>ARTURO GUTIERREZ JAQUEZ</v>
          </cell>
          <cell r="AH234" t="str">
            <v>ENTREGADO</v>
          </cell>
          <cell r="AI234" t="str">
            <v>N/A</v>
          </cell>
          <cell r="AK234">
            <v>46077</v>
          </cell>
        </row>
        <row r="235">
          <cell r="A235" t="str">
            <v>97/2026</v>
          </cell>
          <cell r="B235">
            <v>97</v>
          </cell>
          <cell r="C235" t="str">
            <v>COMPRA POR FONDO</v>
          </cell>
          <cell r="D235">
            <v>46078</v>
          </cell>
          <cell r="E235" t="str">
            <v xml:space="preserve">UNIDAD DE HEMODIALISIS </v>
          </cell>
          <cell r="F235" t="str">
            <v>NEFROLOGIA/55/2026</v>
          </cell>
          <cell r="G235">
            <v>2161003091</v>
          </cell>
          <cell r="H235" t="str">
            <v xml:space="preserve">CLORO AL 6 %_x000D_
</v>
          </cell>
          <cell r="I235">
            <v>140</v>
          </cell>
          <cell r="J235" t="str">
            <v>LITRO</v>
          </cell>
          <cell r="K235">
            <v>2161</v>
          </cell>
          <cell r="L235" t="str">
            <v>N/A</v>
          </cell>
          <cell r="M235" t="str">
            <v>N/A</v>
          </cell>
          <cell r="N235" t="str">
            <v>N/A</v>
          </cell>
          <cell r="O235" t="str">
            <v>N/A</v>
          </cell>
          <cell r="P235" t="str">
            <v>BRENDA</v>
          </cell>
          <cell r="Q235">
            <v>46079</v>
          </cell>
          <cell r="R235" t="str">
            <v>RECURSOS FINANCIEROS</v>
          </cell>
          <cell r="T235" t="str">
            <v>607/2026</v>
          </cell>
          <cell r="U235">
            <v>46090</v>
          </cell>
          <cell r="V235">
            <v>15</v>
          </cell>
          <cell r="W235">
            <v>64650</v>
          </cell>
          <cell r="X235">
            <v>10344</v>
          </cell>
          <cell r="Y235">
            <v>74994</v>
          </cell>
          <cell r="Z235">
            <v>11</v>
          </cell>
          <cell r="AA235">
            <v>46090</v>
          </cell>
          <cell r="AB235">
            <v>46092</v>
          </cell>
          <cell r="AC235">
            <v>9</v>
          </cell>
          <cell r="AD235">
            <v>4310</v>
          </cell>
          <cell r="AE235">
            <v>114</v>
          </cell>
          <cell r="AF235">
            <v>46090</v>
          </cell>
          <cell r="AG235" t="str">
            <v>GRUPO COMERCIAL DENBAR SAS DE CV</v>
          </cell>
          <cell r="AH235" t="str">
            <v>ENTREGADO</v>
          </cell>
          <cell r="AI235">
            <v>46093</v>
          </cell>
          <cell r="AJ235">
            <v>2</v>
          </cell>
          <cell r="AK235">
            <v>46090</v>
          </cell>
          <cell r="AL235">
            <v>46100</v>
          </cell>
        </row>
        <row r="236">
          <cell r="A236" t="str">
            <v>98/2026</v>
          </cell>
          <cell r="B236">
            <v>98</v>
          </cell>
          <cell r="C236" t="str">
            <v>COMPRA POR FONDO</v>
          </cell>
          <cell r="D236">
            <v>46078</v>
          </cell>
          <cell r="E236" t="str">
            <v>OBSTETRICIA</v>
          </cell>
          <cell r="F236" t="str">
            <v>AHCGSA/262/2026</v>
          </cell>
          <cell r="G236">
            <v>2531563015</v>
          </cell>
          <cell r="H236" t="str">
            <v>010.000.6012.01 MISOPROSTOL. TABLETA. CADA TABLETA CONTIENE: MISOPROSTOL 200 µG. ENVASE CON 2 TABLETAS.</v>
          </cell>
          <cell r="I236">
            <v>360</v>
          </cell>
          <cell r="J236" t="str">
            <v>ENVASE</v>
          </cell>
          <cell r="K236">
            <v>2531</v>
          </cell>
          <cell r="L236" t="str">
            <v>N/A</v>
          </cell>
          <cell r="M236" t="str">
            <v>N/A</v>
          </cell>
          <cell r="N236" t="str">
            <v>N/A</v>
          </cell>
          <cell r="O236" t="str">
            <v>N/A</v>
          </cell>
          <cell r="P236" t="str">
            <v>BRENDA</v>
          </cell>
          <cell r="Q236">
            <v>46079</v>
          </cell>
          <cell r="R236" t="str">
            <v>COTIZACION</v>
          </cell>
        </row>
        <row r="237">
          <cell r="A237" t="str">
            <v>99/2026</v>
          </cell>
          <cell r="B237">
            <v>99</v>
          </cell>
          <cell r="C237" t="str">
            <v>SUBROGACION</v>
          </cell>
          <cell r="D237">
            <v>46079</v>
          </cell>
          <cell r="E237" t="str">
            <v>INGENIERIA BIOMEDICA</v>
          </cell>
          <cell r="F237" t="str">
            <v>N/A</v>
          </cell>
          <cell r="G237">
            <v>3992100001</v>
          </cell>
          <cell r="H237" t="str">
            <v>RENTA DE TORRE DE VIDEO</v>
          </cell>
          <cell r="I237">
            <v>1</v>
          </cell>
          <cell r="J237" t="str">
            <v>SERVICIO</v>
          </cell>
          <cell r="L237" t="str">
            <v>AQUINO MERCADO MARIA CRISTINA</v>
          </cell>
          <cell r="M237">
            <v>2022292</v>
          </cell>
          <cell r="N237" t="str">
            <v>AQUINO ULLOA JESUS</v>
          </cell>
          <cell r="O237">
            <v>23028773</v>
          </cell>
          <cell r="P237" t="str">
            <v>JESUS</v>
          </cell>
          <cell r="Q237">
            <v>46079</v>
          </cell>
          <cell r="R237" t="str">
            <v>COTIZACION</v>
          </cell>
        </row>
        <row r="238">
          <cell r="A238" t="str">
            <v>99/2026</v>
          </cell>
          <cell r="B238">
            <v>99</v>
          </cell>
          <cell r="C238" t="str">
            <v>SUBROGACION</v>
          </cell>
          <cell r="D238">
            <v>46079</v>
          </cell>
          <cell r="E238" t="str">
            <v>INGENIERIA BIOMEDICA</v>
          </cell>
          <cell r="F238" t="str">
            <v>N/A</v>
          </cell>
          <cell r="G238">
            <v>3992100001</v>
          </cell>
          <cell r="H238" t="str">
            <v>RENTA DE RESECTOSCOPIO BIPOLAR</v>
          </cell>
          <cell r="I238">
            <v>1</v>
          </cell>
          <cell r="J238" t="str">
            <v>SERVICIO</v>
          </cell>
          <cell r="L238" t="str">
            <v>AQUINO MERCADO MARIA CRISTINA</v>
          </cell>
          <cell r="M238">
            <v>2022292</v>
          </cell>
          <cell r="N238" t="str">
            <v>AQUINO ULLOA JESUS</v>
          </cell>
          <cell r="O238">
            <v>23028773</v>
          </cell>
          <cell r="P238" t="str">
            <v>JESUS</v>
          </cell>
          <cell r="Q238">
            <v>46079</v>
          </cell>
          <cell r="R238" t="str">
            <v>COTIZACION</v>
          </cell>
        </row>
        <row r="239">
          <cell r="A239" t="str">
            <v>99/2026</v>
          </cell>
          <cell r="B239">
            <v>99</v>
          </cell>
          <cell r="C239" t="str">
            <v>SUBROGACION</v>
          </cell>
          <cell r="D239">
            <v>46079</v>
          </cell>
          <cell r="E239" t="str">
            <v>INGENIERIA BIOMEDICA</v>
          </cell>
          <cell r="F239" t="str">
            <v>N/A</v>
          </cell>
          <cell r="G239">
            <v>3992100001</v>
          </cell>
          <cell r="H239" t="str">
            <v>RENTA MATERIAL PARA RESECCION TRASURETRAL PROSTATICA</v>
          </cell>
          <cell r="I239">
            <v>1</v>
          </cell>
          <cell r="J239" t="str">
            <v>SERVICIO</v>
          </cell>
          <cell r="L239" t="str">
            <v>AQUINO MERCADO MARIA CRISTINA</v>
          </cell>
          <cell r="M239">
            <v>2022292</v>
          </cell>
          <cell r="N239" t="str">
            <v>AQUINO ULLOA JESUS</v>
          </cell>
          <cell r="O239">
            <v>23028773</v>
          </cell>
          <cell r="P239" t="str">
            <v>JESUS</v>
          </cell>
          <cell r="Q239">
            <v>46079</v>
          </cell>
          <cell r="R239" t="str">
            <v>COTIZACION</v>
          </cell>
        </row>
        <row r="240">
          <cell r="A240" t="str">
            <v>99/2026</v>
          </cell>
          <cell r="B240">
            <v>99</v>
          </cell>
          <cell r="C240" t="str">
            <v>SUBROGACION</v>
          </cell>
          <cell r="D240">
            <v>46079</v>
          </cell>
          <cell r="E240" t="str">
            <v>INGENIERIA BIOMEDICA</v>
          </cell>
          <cell r="F240" t="str">
            <v>N/A</v>
          </cell>
          <cell r="G240">
            <v>3992100001</v>
          </cell>
          <cell r="H240" t="str">
            <v>RENTA IRRIGATECK 2 VIAS</v>
          </cell>
          <cell r="I240">
            <v>1</v>
          </cell>
          <cell r="J240" t="str">
            <v>SERVICIO</v>
          </cell>
          <cell r="L240" t="str">
            <v>AQUINO MERCADO MARIA CRISTINA</v>
          </cell>
          <cell r="M240">
            <v>2022292</v>
          </cell>
          <cell r="N240" t="str">
            <v>AQUINO ULLOA JESUS</v>
          </cell>
          <cell r="O240">
            <v>23028773</v>
          </cell>
          <cell r="P240" t="str">
            <v>JESUS</v>
          </cell>
          <cell r="Q240">
            <v>46079</v>
          </cell>
          <cell r="R240" t="str">
            <v>COTIZACION</v>
          </cell>
        </row>
        <row r="241">
          <cell r="A241" t="str">
            <v>100/2026</v>
          </cell>
          <cell r="B241">
            <v>100</v>
          </cell>
          <cell r="C241" t="str">
            <v>COMPRA POR FONDO</v>
          </cell>
          <cell r="D241">
            <v>46077</v>
          </cell>
          <cell r="E241" t="str">
            <v>DIVISION DE SERVICIOS GENERALES</v>
          </cell>
          <cell r="F241" t="str">
            <v>FDSG/82/2026</v>
          </cell>
          <cell r="G241">
            <v>3572001072</v>
          </cell>
          <cell r="H241" t="str">
            <v>MANTENIMIENTO CORRECTIVO A MOTOR ELECTRICO TRIFASICO SINCRONO DE IMAN PERMANENTE DE 30KW A 220V, QUE INCLUYE MONTAJE DE MOTOR A COMPORESOR DE TORNILLO GRADO MEDICO, ACOPLAMIENTO, CONEXIONES ELECTRICAS Y TODO LO NECESARIO PARA SU CORRECTO FUNCIONAMIENTO</v>
          </cell>
          <cell r="I241">
            <v>4</v>
          </cell>
          <cell r="J241" t="str">
            <v>SERVICIO</v>
          </cell>
          <cell r="K241">
            <v>3572</v>
          </cell>
          <cell r="L241" t="str">
            <v>N/A</v>
          </cell>
          <cell r="M241" t="str">
            <v>N/A</v>
          </cell>
          <cell r="N241" t="str">
            <v>N/A</v>
          </cell>
          <cell r="O241" t="str">
            <v>N/A</v>
          </cell>
          <cell r="P241" t="str">
            <v>BRENDA</v>
          </cell>
          <cell r="Q241">
            <v>46079</v>
          </cell>
          <cell r="R241" t="str">
            <v>AUT CAA</v>
          </cell>
          <cell r="T241" t="str">
            <v>729/2026</v>
          </cell>
          <cell r="U241">
            <v>46106</v>
          </cell>
          <cell r="V241">
            <v>4201.1499999999996</v>
          </cell>
          <cell r="W241">
            <v>16804.599999999999</v>
          </cell>
          <cell r="X241">
            <v>2688.7359999999999</v>
          </cell>
          <cell r="Y241">
            <v>19493.335999999999</v>
          </cell>
          <cell r="Z241">
            <v>16</v>
          </cell>
          <cell r="AA241">
            <v>46106</v>
          </cell>
          <cell r="AD241">
            <v>4</v>
          </cell>
          <cell r="AE241">
            <v>150</v>
          </cell>
          <cell r="AF241">
            <v>46106</v>
          </cell>
          <cell r="AG241" t="str">
            <v xml:space="preserve">CHAVEZ AMEZCUA WILLIAM FRANCISCO </v>
          </cell>
        </row>
        <row r="242">
          <cell r="A242" t="str">
            <v>101/2026</v>
          </cell>
          <cell r="B242">
            <v>101</v>
          </cell>
          <cell r="C242" t="str">
            <v>COMPRA POR FONDO</v>
          </cell>
          <cell r="D242">
            <v>46079</v>
          </cell>
          <cell r="E242" t="str">
            <v>DIVISION DE SERVICIOS GENERALES</v>
          </cell>
          <cell r="F242" t="str">
            <v>FDSG/93/2026</v>
          </cell>
          <cell r="G242">
            <v>3512100013</v>
          </cell>
          <cell r="H242" t="str">
            <v>MANTENIMIENTO CORRECTIVO A TINAS TERAPEUTICAS, (EQUIPOS DE BOMBEO, CALENTAMIENTO, FILTRACION Y CONTROL DE AGUA) QUE INCLUYE AJUSTE Y REPARACION DE BOMBAS, VALVULAS REGULADORAS DE PRESION, VALVULAS SOLENOIDES, CALENTADORES DE AGUA,CLORADORES Y CONTROL</v>
          </cell>
          <cell r="I242">
            <v>1</v>
          </cell>
          <cell r="J242" t="str">
            <v>SERVICIO</v>
          </cell>
          <cell r="K242">
            <v>3512</v>
          </cell>
          <cell r="L242" t="str">
            <v>N/A</v>
          </cell>
          <cell r="M242" t="str">
            <v>N/A</v>
          </cell>
          <cell r="N242" t="str">
            <v>N/A</v>
          </cell>
          <cell r="O242" t="str">
            <v>N/A</v>
          </cell>
          <cell r="P242" t="str">
            <v>BRENDA</v>
          </cell>
          <cell r="Q242">
            <v>46080</v>
          </cell>
          <cell r="R242" t="str">
            <v>COTIZACION</v>
          </cell>
        </row>
        <row r="243">
          <cell r="A243" t="str">
            <v>102/2026</v>
          </cell>
          <cell r="B243">
            <v>102</v>
          </cell>
          <cell r="C243" t="str">
            <v>SUBROGACION</v>
          </cell>
          <cell r="D243">
            <v>46083</v>
          </cell>
          <cell r="E243" t="str">
            <v>ORTOPEDIA Y TRAUMA</v>
          </cell>
          <cell r="G243">
            <v>3992100001</v>
          </cell>
          <cell r="H243" t="str">
            <v>PROTESIS REERSA DE HOMBRO: METAGLENA CON PEG HELICOIDAL</v>
          </cell>
          <cell r="I243">
            <v>1</v>
          </cell>
          <cell r="J243" t="str">
            <v>PIEZA</v>
          </cell>
          <cell r="K243">
            <v>3992</v>
          </cell>
          <cell r="L243" t="str">
            <v>AMANTE CEJA MIRIAM MONICA</v>
          </cell>
          <cell r="M243">
            <v>2004074</v>
          </cell>
          <cell r="N243" t="str">
            <v>CEJA RODRIGUEZ MA CARMEN</v>
          </cell>
          <cell r="O243">
            <v>6050144</v>
          </cell>
          <cell r="P243" t="str">
            <v>JESUS</v>
          </cell>
          <cell r="Q243">
            <v>46083</v>
          </cell>
          <cell r="R243" t="str">
            <v>COTIZACION</v>
          </cell>
        </row>
        <row r="244">
          <cell r="A244" t="str">
            <v>102/2026</v>
          </cell>
          <cell r="B244">
            <v>102</v>
          </cell>
          <cell r="C244" t="str">
            <v>SUBROGACION</v>
          </cell>
          <cell r="D244">
            <v>46083</v>
          </cell>
          <cell r="E244" t="str">
            <v>ORTOPEDIA Y TRAUMA</v>
          </cell>
          <cell r="G244">
            <v>3992100001</v>
          </cell>
          <cell r="H244" t="str">
            <v>TORNILLOS GLENOIDEOS</v>
          </cell>
          <cell r="I244">
            <v>2</v>
          </cell>
          <cell r="J244" t="str">
            <v>PIEZA</v>
          </cell>
          <cell r="K244">
            <v>3992</v>
          </cell>
          <cell r="L244" t="str">
            <v>AMANTE CEJA MIRIAM MONICA</v>
          </cell>
          <cell r="M244">
            <v>2004074</v>
          </cell>
          <cell r="N244" t="str">
            <v>CEJA RODRIGUEZ MA CARMEN</v>
          </cell>
          <cell r="O244">
            <v>6050144</v>
          </cell>
          <cell r="P244" t="str">
            <v>JESUS</v>
          </cell>
          <cell r="Q244">
            <v>46083</v>
          </cell>
          <cell r="R244" t="str">
            <v>COTIZACION</v>
          </cell>
        </row>
        <row r="245">
          <cell r="A245" t="str">
            <v>102/2026</v>
          </cell>
          <cell r="B245">
            <v>102</v>
          </cell>
          <cell r="C245" t="str">
            <v>SUBROGACION</v>
          </cell>
          <cell r="D245">
            <v>46083</v>
          </cell>
          <cell r="E245" t="str">
            <v>ORTOPEDIA Y TRAUMA</v>
          </cell>
          <cell r="G245">
            <v>3992100001</v>
          </cell>
          <cell r="H245" t="str">
            <v>GLENOESFERA</v>
          </cell>
          <cell r="I245">
            <v>1</v>
          </cell>
          <cell r="J245" t="str">
            <v>PIEZA</v>
          </cell>
          <cell r="K245">
            <v>3992</v>
          </cell>
          <cell r="L245" t="str">
            <v>AMANTE CEJA MIRIAM MONICA</v>
          </cell>
          <cell r="M245">
            <v>2004074</v>
          </cell>
          <cell r="N245" t="str">
            <v>CEJA RODRIGUEZ MA CARMEN</v>
          </cell>
          <cell r="O245">
            <v>6050144</v>
          </cell>
          <cell r="P245" t="str">
            <v>JESUS</v>
          </cell>
          <cell r="Q245">
            <v>46083</v>
          </cell>
          <cell r="R245" t="str">
            <v>COTIZACION</v>
          </cell>
        </row>
        <row r="246">
          <cell r="A246" t="str">
            <v>102/2026</v>
          </cell>
          <cell r="B246">
            <v>102</v>
          </cell>
          <cell r="C246" t="str">
            <v>SUBROGACION</v>
          </cell>
          <cell r="D246">
            <v>46083</v>
          </cell>
          <cell r="E246" t="str">
            <v>ORTOPEDIA Y TRAUMA</v>
          </cell>
          <cell r="G246">
            <v>3992100001</v>
          </cell>
          <cell r="H246" t="str">
            <v>INSERTO DE POLIETILENO</v>
          </cell>
          <cell r="I246">
            <v>1</v>
          </cell>
          <cell r="J246" t="str">
            <v>PIEZA</v>
          </cell>
          <cell r="K246">
            <v>3992</v>
          </cell>
          <cell r="L246" t="str">
            <v>AMANTE CEJA MIRIAM MONICA</v>
          </cell>
          <cell r="M246">
            <v>2004074</v>
          </cell>
          <cell r="N246" t="str">
            <v>CEJA RODRIGUEZ MA CARMEN</v>
          </cell>
          <cell r="O246">
            <v>6050144</v>
          </cell>
          <cell r="P246" t="str">
            <v>JESUS</v>
          </cell>
          <cell r="Q246">
            <v>46083</v>
          </cell>
          <cell r="R246" t="str">
            <v>COTIZACION</v>
          </cell>
        </row>
        <row r="247">
          <cell r="A247" t="str">
            <v>102/2026</v>
          </cell>
          <cell r="B247">
            <v>102</v>
          </cell>
          <cell r="C247" t="str">
            <v>SUBROGACION</v>
          </cell>
          <cell r="D247">
            <v>46083</v>
          </cell>
          <cell r="E247" t="str">
            <v>ORTOPEDIA Y TRAUMA</v>
          </cell>
          <cell r="G247">
            <v>3992100001</v>
          </cell>
          <cell r="H247" t="str">
            <v>VASTAGO HUMERAL</v>
          </cell>
          <cell r="I247">
            <v>1</v>
          </cell>
          <cell r="J247" t="str">
            <v>PIEZA</v>
          </cell>
          <cell r="K247">
            <v>3992</v>
          </cell>
          <cell r="L247" t="str">
            <v>AMANTE CEJA MIRIAM MONICA</v>
          </cell>
          <cell r="M247">
            <v>2004074</v>
          </cell>
          <cell r="N247" t="str">
            <v>CEJA RODRIGUEZ MA CARMEN</v>
          </cell>
          <cell r="O247">
            <v>6050144</v>
          </cell>
          <cell r="P247" t="str">
            <v>JESUS</v>
          </cell>
          <cell r="Q247">
            <v>46083</v>
          </cell>
          <cell r="R247" t="str">
            <v>COTIZACION</v>
          </cell>
        </row>
        <row r="248">
          <cell r="A248" t="str">
            <v>102/2026</v>
          </cell>
          <cell r="B248">
            <v>102</v>
          </cell>
          <cell r="C248" t="str">
            <v>SUBROGACION</v>
          </cell>
          <cell r="D248">
            <v>46083</v>
          </cell>
          <cell r="E248" t="str">
            <v>ORTOPEDIA Y TRAUMA</v>
          </cell>
          <cell r="G248">
            <v>3992100001</v>
          </cell>
          <cell r="H248" t="str">
            <v>PLATO HUMERAL</v>
          </cell>
          <cell r="I248">
            <v>1</v>
          </cell>
          <cell r="J248" t="str">
            <v>PIEZA</v>
          </cell>
          <cell r="K248">
            <v>3992</v>
          </cell>
          <cell r="L248" t="str">
            <v>AMANTE CEJA MIRIAM MONICA</v>
          </cell>
          <cell r="M248">
            <v>2004074</v>
          </cell>
          <cell r="N248" t="str">
            <v>CEJA RODRIGUEZ MA CARMEN</v>
          </cell>
          <cell r="O248">
            <v>6050144</v>
          </cell>
          <cell r="P248" t="str">
            <v>JESUS</v>
          </cell>
          <cell r="Q248">
            <v>46083</v>
          </cell>
          <cell r="R248" t="str">
            <v>COTIZACION</v>
          </cell>
        </row>
        <row r="249">
          <cell r="A249" t="str">
            <v>102/2026</v>
          </cell>
          <cell r="B249">
            <v>102</v>
          </cell>
          <cell r="C249" t="str">
            <v>SUBROGACION</v>
          </cell>
          <cell r="D249">
            <v>46083</v>
          </cell>
          <cell r="E249" t="str">
            <v>ORTOPEDIA Y TRAUMA</v>
          </cell>
          <cell r="G249">
            <v>3992100001</v>
          </cell>
          <cell r="H249" t="str">
            <v>PAQUETE DE CEMENTO OSEO CON ANTIBIOTICO</v>
          </cell>
          <cell r="I249">
            <v>1</v>
          </cell>
          <cell r="J249" t="str">
            <v>PIEZA</v>
          </cell>
          <cell r="K249">
            <v>3992</v>
          </cell>
          <cell r="L249" t="str">
            <v>AMANTE CEJA MIRIAM MONICA</v>
          </cell>
          <cell r="M249">
            <v>2004074</v>
          </cell>
          <cell r="N249" t="str">
            <v>CEJA RODRIGUEZ MA CARMEN</v>
          </cell>
          <cell r="O249">
            <v>6050144</v>
          </cell>
          <cell r="P249" t="str">
            <v>JESUS</v>
          </cell>
          <cell r="Q249">
            <v>46083</v>
          </cell>
          <cell r="R249" t="str">
            <v>COTIZACION</v>
          </cell>
        </row>
        <row r="250">
          <cell r="A250" t="str">
            <v>103/2026</v>
          </cell>
          <cell r="B250">
            <v>103</v>
          </cell>
          <cell r="C250" t="str">
            <v>COMPRA POR FONDO</v>
          </cell>
          <cell r="D250">
            <v>46083</v>
          </cell>
          <cell r="E250" t="str">
            <v>ALMACEN DE ÁREAS QUIRURGICAS</v>
          </cell>
          <cell r="F250" t="str">
            <v>AAQX013/03/03/2026</v>
          </cell>
          <cell r="G250">
            <v>2541084007</v>
          </cell>
          <cell r="H250" t="str">
            <v>ROLLO DE BOLSA TYVEK CON CINTA TESTIGOPARA PEROXIDO DE HIDROGENO MEDIDAS 150MM X 70MCAJA C/6 PIEZAS</v>
          </cell>
          <cell r="I250">
            <v>300</v>
          </cell>
          <cell r="J250" t="str">
            <v>CAJA</v>
          </cell>
          <cell r="K250">
            <v>2541</v>
          </cell>
          <cell r="L250" t="str">
            <v>N/A</v>
          </cell>
          <cell r="M250" t="str">
            <v>N/A</v>
          </cell>
          <cell r="N250" t="str">
            <v>N/A</v>
          </cell>
          <cell r="O250" t="str">
            <v>N/A</v>
          </cell>
          <cell r="P250" t="str">
            <v>BRENDA</v>
          </cell>
          <cell r="Q250">
            <v>46084</v>
          </cell>
          <cell r="R250" t="str">
            <v>COTIZACION</v>
          </cell>
          <cell r="T250" t="str">
            <v>682/2026</v>
          </cell>
          <cell r="U250">
            <v>46100</v>
          </cell>
          <cell r="V250">
            <v>7183</v>
          </cell>
          <cell r="W250">
            <v>64647</v>
          </cell>
          <cell r="X250">
            <v>10343.52</v>
          </cell>
          <cell r="Y250">
            <v>74990.52</v>
          </cell>
          <cell r="AD250">
            <v>9</v>
          </cell>
          <cell r="AE250">
            <v>133</v>
          </cell>
          <cell r="AF250">
            <v>46100</v>
          </cell>
          <cell r="AG250" t="str">
            <v>ESPECIALISTAS EN ESTERILIZACION Y ENVASE SA DE CV</v>
          </cell>
        </row>
        <row r="251">
          <cell r="A251" t="str">
            <v>104/2026</v>
          </cell>
          <cell r="B251">
            <v>104</v>
          </cell>
          <cell r="C251" t="str">
            <v>REEMBOLSO</v>
          </cell>
          <cell r="D251">
            <v>46084</v>
          </cell>
          <cell r="E251" t="str">
            <v>ORTOPEDIA Y TRAUMA</v>
          </cell>
          <cell r="G251">
            <v>3992100001</v>
          </cell>
          <cell r="H251" t="str">
            <v>PLACA LLP ANATOMICA CLAVICULA DERECHA CON EXTENSIÓN (TITANIO) SET TORRILLEMA</v>
          </cell>
          <cell r="I251">
            <v>1</v>
          </cell>
          <cell r="J251" t="str">
            <v>PIEZA</v>
          </cell>
          <cell r="K251">
            <v>3992</v>
          </cell>
          <cell r="L251" t="str">
            <v>DENISSE SAMARA  MORENO VAZQUEZ</v>
          </cell>
          <cell r="M251">
            <v>2025007</v>
          </cell>
          <cell r="N251" t="str">
            <v>DENISSE SAMARA  MORENO VAZQUEZ</v>
          </cell>
          <cell r="O251">
            <v>16076356</v>
          </cell>
          <cell r="P251" t="str">
            <v>JESUS</v>
          </cell>
          <cell r="Q251">
            <v>46084</v>
          </cell>
          <cell r="R251" t="str">
            <v>COTIZACION</v>
          </cell>
        </row>
        <row r="252">
          <cell r="A252" t="str">
            <v>104/2026</v>
          </cell>
          <cell r="B252">
            <v>104</v>
          </cell>
          <cell r="C252" t="str">
            <v>REEMBOLSO</v>
          </cell>
          <cell r="D252">
            <v>46084</v>
          </cell>
          <cell r="E252" t="str">
            <v>ORTOPEDIA Y TRAUMA</v>
          </cell>
          <cell r="G252">
            <v>3992100001</v>
          </cell>
          <cell r="H252" t="str">
            <v>MINIPLACA RECTA CO NTORNILLOERA (TITANIO)</v>
          </cell>
          <cell r="I252">
            <v>1</v>
          </cell>
          <cell r="J252" t="str">
            <v>PIEZA</v>
          </cell>
          <cell r="K252">
            <v>3992</v>
          </cell>
          <cell r="L252" t="str">
            <v>DENISSE SAMARA  MORENO VAZQUEZ</v>
          </cell>
          <cell r="M252">
            <v>2025007</v>
          </cell>
          <cell r="N252" t="str">
            <v>DENISSE SAMARA  MORENO VAZQUEZ</v>
          </cell>
          <cell r="O252">
            <v>16076356</v>
          </cell>
          <cell r="P252" t="str">
            <v>JESUS</v>
          </cell>
          <cell r="Q252">
            <v>46084</v>
          </cell>
          <cell r="R252" t="str">
            <v>COTIZACION</v>
          </cell>
        </row>
        <row r="253">
          <cell r="A253" t="str">
            <v>104/2026</v>
          </cell>
          <cell r="B253">
            <v>104</v>
          </cell>
          <cell r="C253" t="str">
            <v>REEMBOLSO</v>
          </cell>
          <cell r="D253">
            <v>46084</v>
          </cell>
          <cell r="E253" t="str">
            <v>ORTOPEDIA Y TRAUMA</v>
          </cell>
          <cell r="G253">
            <v>3992100001</v>
          </cell>
          <cell r="H253" t="str">
            <v>SET COLOCACIÓN</v>
          </cell>
          <cell r="I253">
            <v>1</v>
          </cell>
          <cell r="J253" t="str">
            <v>SERVICIO</v>
          </cell>
          <cell r="K253">
            <v>3992</v>
          </cell>
          <cell r="L253" t="str">
            <v>DENISSE SAMARA  MORENO VAZQUEZ</v>
          </cell>
          <cell r="M253">
            <v>2025007</v>
          </cell>
          <cell r="N253" t="str">
            <v>DENISSE SAMARA  MORENO VAZQUEZ</v>
          </cell>
          <cell r="O253">
            <v>16076356</v>
          </cell>
          <cell r="P253" t="str">
            <v>JESUS</v>
          </cell>
          <cell r="Q253">
            <v>46084</v>
          </cell>
          <cell r="R253" t="str">
            <v>COTIZACION</v>
          </cell>
        </row>
        <row r="254">
          <cell r="A254" t="str">
            <v>104/2026</v>
          </cell>
          <cell r="B254">
            <v>104</v>
          </cell>
          <cell r="C254" t="str">
            <v>REEMBOLSO</v>
          </cell>
          <cell r="D254">
            <v>46084</v>
          </cell>
          <cell r="E254" t="str">
            <v>ORTOPEDIA Y TRAUMA</v>
          </cell>
          <cell r="G254">
            <v>3992100001</v>
          </cell>
          <cell r="H254" t="str">
            <v>TALADRO ESTERIL</v>
          </cell>
          <cell r="I254">
            <v>1</v>
          </cell>
          <cell r="J254" t="str">
            <v>SERVICIO</v>
          </cell>
          <cell r="K254">
            <v>3992</v>
          </cell>
          <cell r="L254" t="str">
            <v>DENISSE SAMARA  MORENO VAZQUEZ</v>
          </cell>
          <cell r="M254">
            <v>2025007</v>
          </cell>
          <cell r="N254" t="str">
            <v>DENISSE SAMARA  MORENO VAZQUEZ</v>
          </cell>
          <cell r="O254">
            <v>16076356</v>
          </cell>
          <cell r="P254" t="str">
            <v>JESUS</v>
          </cell>
          <cell r="Q254">
            <v>46084</v>
          </cell>
          <cell r="R254" t="str">
            <v>COTIZACION</v>
          </cell>
        </row>
        <row r="255">
          <cell r="A255" t="str">
            <v>105/2026</v>
          </cell>
          <cell r="B255">
            <v>105</v>
          </cell>
          <cell r="C255" t="str">
            <v>REEMBOLSO</v>
          </cell>
          <cell r="D255">
            <v>46084</v>
          </cell>
          <cell r="E255" t="str">
            <v>TRANSPLANTES</v>
          </cell>
          <cell r="G255">
            <v>3992100001</v>
          </cell>
          <cell r="H255" t="str">
            <v>SONDA SILASTIC HIDROFILICA DOS VÍA</v>
          </cell>
          <cell r="I255">
            <v>1</v>
          </cell>
          <cell r="J255" t="str">
            <v>PIEZA</v>
          </cell>
          <cell r="K255">
            <v>3992</v>
          </cell>
          <cell r="L255" t="str">
            <v>VALERI MARISOL SOTO COBOS</v>
          </cell>
          <cell r="M255">
            <v>2022432</v>
          </cell>
          <cell r="N255" t="str">
            <v>PABLO DE LA CRUZ HERNANDEZ ROJAS</v>
          </cell>
          <cell r="O255">
            <v>22028025</v>
          </cell>
          <cell r="P255" t="str">
            <v>JESUS</v>
          </cell>
          <cell r="Q255">
            <v>46084</v>
          </cell>
          <cell r="R255" t="str">
            <v>COTIZACION</v>
          </cell>
        </row>
        <row r="256">
          <cell r="A256" t="str">
            <v>105/2026</v>
          </cell>
          <cell r="B256">
            <v>105</v>
          </cell>
          <cell r="C256" t="str">
            <v>REEMBOLSO</v>
          </cell>
          <cell r="D256">
            <v>46084</v>
          </cell>
          <cell r="E256" t="str">
            <v>TRANSPLANTES</v>
          </cell>
          <cell r="G256">
            <v>3992100001</v>
          </cell>
          <cell r="H256" t="str">
            <v>BOLSA RECOLECTORA DE ORINA</v>
          </cell>
          <cell r="I256">
            <v>2</v>
          </cell>
          <cell r="J256" t="str">
            <v>LITRO</v>
          </cell>
          <cell r="K256">
            <v>3992</v>
          </cell>
          <cell r="L256" t="str">
            <v>VALERI MARISOL SOTO COBOS</v>
          </cell>
          <cell r="M256">
            <v>2022432</v>
          </cell>
          <cell r="N256" t="str">
            <v>PABLO DE LA CRUZ HERNANDEZ ROJAS</v>
          </cell>
          <cell r="O256">
            <v>22028025</v>
          </cell>
          <cell r="P256" t="str">
            <v>JESUS</v>
          </cell>
          <cell r="Q256">
            <v>46084</v>
          </cell>
          <cell r="R256" t="str">
            <v>COTIZACION</v>
          </cell>
        </row>
        <row r="257">
          <cell r="A257" t="str">
            <v>105/2026</v>
          </cell>
          <cell r="B257">
            <v>105</v>
          </cell>
          <cell r="C257" t="str">
            <v>REEMBOLSO</v>
          </cell>
          <cell r="D257">
            <v>46084</v>
          </cell>
          <cell r="E257" t="str">
            <v>TRANSPLANTES</v>
          </cell>
          <cell r="G257">
            <v>3992100001</v>
          </cell>
          <cell r="H257" t="str">
            <v>SET CATETER DOBLE JJ 6 FR X 12 CM SOF-F</v>
          </cell>
          <cell r="I257">
            <v>1</v>
          </cell>
          <cell r="J257" t="str">
            <v>PIEZA</v>
          </cell>
          <cell r="K257">
            <v>3992</v>
          </cell>
          <cell r="L257" t="str">
            <v>VALERI MARISOL SOTO COBOS</v>
          </cell>
          <cell r="M257">
            <v>2022432</v>
          </cell>
          <cell r="N257" t="str">
            <v>PABLO DE LA CRUZ HERNANDEZ ROJAS</v>
          </cell>
          <cell r="O257">
            <v>22028025</v>
          </cell>
          <cell r="P257" t="str">
            <v>JESUS</v>
          </cell>
          <cell r="Q257">
            <v>46084</v>
          </cell>
          <cell r="R257" t="str">
            <v>COTIZACION</v>
          </cell>
        </row>
        <row r="258">
          <cell r="A258" t="str">
            <v>105/2026</v>
          </cell>
          <cell r="B258">
            <v>105</v>
          </cell>
          <cell r="C258" t="str">
            <v>REEMBOLSO</v>
          </cell>
          <cell r="D258">
            <v>46084</v>
          </cell>
          <cell r="E258" t="str">
            <v>TRANSPLANTES</v>
          </cell>
          <cell r="G258">
            <v>3992100001</v>
          </cell>
          <cell r="H258" t="str">
            <v>PROLENE 1 CT-1   75CM (3CM)</v>
          </cell>
          <cell r="I258">
            <v>3</v>
          </cell>
          <cell r="J258" t="str">
            <v>PIEZA</v>
          </cell>
          <cell r="K258">
            <v>3992</v>
          </cell>
          <cell r="L258" t="str">
            <v>VALERI MARISOL SOTO COBOS</v>
          </cell>
          <cell r="M258">
            <v>2022432</v>
          </cell>
          <cell r="N258" t="str">
            <v>PABLO DE LA CRUZ HERNANDEZ ROJAS</v>
          </cell>
          <cell r="O258">
            <v>22028025</v>
          </cell>
          <cell r="P258" t="str">
            <v>JESUS</v>
          </cell>
          <cell r="Q258">
            <v>46084</v>
          </cell>
          <cell r="R258" t="str">
            <v>COTIZACION</v>
          </cell>
        </row>
        <row r="259">
          <cell r="A259" t="str">
            <v>105/2026</v>
          </cell>
          <cell r="B259">
            <v>105</v>
          </cell>
          <cell r="C259" t="str">
            <v>REEMBOLSO</v>
          </cell>
          <cell r="D259">
            <v>46084</v>
          </cell>
          <cell r="E259" t="str">
            <v>TRANSPLANTES</v>
          </cell>
          <cell r="G259">
            <v>3992100001</v>
          </cell>
          <cell r="H259" t="str">
            <v>PROLENE 7/0  BV-1 D/A 75 CM</v>
          </cell>
          <cell r="I259">
            <v>4</v>
          </cell>
          <cell r="J259" t="str">
            <v>PIEZA</v>
          </cell>
          <cell r="K259">
            <v>3992</v>
          </cell>
          <cell r="L259" t="str">
            <v>VALERI MARISOL SOTO COBOS</v>
          </cell>
          <cell r="M259">
            <v>2022432</v>
          </cell>
          <cell r="N259" t="str">
            <v>PABLO DE LA CRUZ HERNANDEZ ROJAS</v>
          </cell>
          <cell r="O259">
            <v>22028025</v>
          </cell>
          <cell r="P259" t="str">
            <v>JESUS</v>
          </cell>
          <cell r="Q259">
            <v>46084</v>
          </cell>
          <cell r="R259" t="str">
            <v>COTIZACION</v>
          </cell>
        </row>
        <row r="260">
          <cell r="A260" t="str">
            <v>105/2026</v>
          </cell>
          <cell r="B260">
            <v>105</v>
          </cell>
          <cell r="C260" t="str">
            <v>REEMBOLSO</v>
          </cell>
          <cell r="D260">
            <v>46084</v>
          </cell>
          <cell r="E260" t="str">
            <v>TRANSPLANTES</v>
          </cell>
          <cell r="G260">
            <v>3992100001</v>
          </cell>
          <cell r="H260" t="str">
            <v>ENGRAPADORA PARA PIEL VISISTAT 35W WE</v>
          </cell>
          <cell r="I260">
            <v>2</v>
          </cell>
          <cell r="J260" t="str">
            <v>PIEZA</v>
          </cell>
          <cell r="K260">
            <v>3992</v>
          </cell>
          <cell r="L260" t="str">
            <v>VALERI MARISOL SOTO COBOS</v>
          </cell>
          <cell r="M260">
            <v>2022432</v>
          </cell>
          <cell r="N260" t="str">
            <v>PABLO DE LA CRUZ HERNANDEZ ROJAS</v>
          </cell>
          <cell r="O260">
            <v>22028025</v>
          </cell>
          <cell r="P260" t="str">
            <v>JESUS</v>
          </cell>
          <cell r="Q260">
            <v>46084</v>
          </cell>
          <cell r="R260" t="str">
            <v>COTIZACION</v>
          </cell>
        </row>
        <row r="261">
          <cell r="A261" t="str">
            <v>105/2026</v>
          </cell>
          <cell r="B261">
            <v>105</v>
          </cell>
          <cell r="C261" t="str">
            <v>REEMBOLSO</v>
          </cell>
          <cell r="D261">
            <v>46084</v>
          </cell>
          <cell r="E261" t="str">
            <v>TRANSPLANTES</v>
          </cell>
          <cell r="G261">
            <v>3992100001</v>
          </cell>
          <cell r="H261" t="str">
            <v>CLIP HORIZON MED 30 AZUL</v>
          </cell>
          <cell r="I261">
            <v>3</v>
          </cell>
          <cell r="J261" t="str">
            <v>PIEZA</v>
          </cell>
          <cell r="K261">
            <v>3992</v>
          </cell>
          <cell r="L261" t="str">
            <v>VALERI MARISOL SOTO COBOS</v>
          </cell>
          <cell r="M261">
            <v>2022432</v>
          </cell>
          <cell r="N261" t="str">
            <v>PABLO DE LA CRUZ HERNANDEZ ROJAS</v>
          </cell>
          <cell r="O261">
            <v>22028025</v>
          </cell>
          <cell r="P261" t="str">
            <v>JESUS</v>
          </cell>
          <cell r="Q261">
            <v>46084</v>
          </cell>
          <cell r="R261" t="str">
            <v>COTIZACION</v>
          </cell>
        </row>
        <row r="262">
          <cell r="A262" t="str">
            <v>105/2026</v>
          </cell>
          <cell r="B262">
            <v>105</v>
          </cell>
          <cell r="C262" t="str">
            <v>REEMBOLSO</v>
          </cell>
          <cell r="D262">
            <v>46084</v>
          </cell>
          <cell r="E262" t="str">
            <v>TRANSPLANTES</v>
          </cell>
          <cell r="G262">
            <v>3992100001</v>
          </cell>
          <cell r="H262" t="str">
            <v>PDS II VIOLETA 5/0  C-1 D/A 75 CM</v>
          </cell>
          <cell r="I262">
            <v>2</v>
          </cell>
          <cell r="J262" t="str">
            <v>PIEZA</v>
          </cell>
          <cell r="K262">
            <v>3992</v>
          </cell>
          <cell r="L262" t="str">
            <v>VALERI MARISOL SOTO COBOS</v>
          </cell>
          <cell r="M262">
            <v>2022432</v>
          </cell>
          <cell r="N262" t="str">
            <v>PABLO DE LA CRUZ HERNANDEZ ROJAS</v>
          </cell>
          <cell r="O262">
            <v>22028025</v>
          </cell>
          <cell r="P262" t="str">
            <v>JESUS</v>
          </cell>
          <cell r="Q262">
            <v>46084</v>
          </cell>
          <cell r="R262" t="str">
            <v>COTIZACION</v>
          </cell>
        </row>
        <row r="263">
          <cell r="A263" t="str">
            <v>105/2026</v>
          </cell>
          <cell r="B263">
            <v>105</v>
          </cell>
          <cell r="C263" t="str">
            <v>REEMBOLSO</v>
          </cell>
          <cell r="D263">
            <v>46084</v>
          </cell>
          <cell r="E263" t="str">
            <v>TRANSPLANTES</v>
          </cell>
          <cell r="G263">
            <v>3992100001</v>
          </cell>
          <cell r="H263" t="str">
            <v>INSPIROMETRO TRIFLO</v>
          </cell>
          <cell r="I263">
            <v>1</v>
          </cell>
          <cell r="J263" t="str">
            <v>PIEZA</v>
          </cell>
          <cell r="K263">
            <v>3992</v>
          </cell>
          <cell r="L263" t="str">
            <v>VALERI MARISOL SOTO COBOS</v>
          </cell>
          <cell r="M263">
            <v>2022432</v>
          </cell>
          <cell r="N263" t="str">
            <v>PABLO DE LA CRUZ HERNANDEZ ROJAS</v>
          </cell>
          <cell r="O263">
            <v>22028025</v>
          </cell>
          <cell r="P263" t="str">
            <v>JESUS</v>
          </cell>
          <cell r="Q263">
            <v>46084</v>
          </cell>
          <cell r="R263" t="str">
            <v>COTIZACION</v>
          </cell>
        </row>
        <row r="264">
          <cell r="A264" t="str">
            <v>105/2026</v>
          </cell>
          <cell r="B264">
            <v>105</v>
          </cell>
          <cell r="C264" t="str">
            <v>REEMBOLSO</v>
          </cell>
          <cell r="D264">
            <v>46084</v>
          </cell>
          <cell r="E264" t="str">
            <v>TRANSPLANTES</v>
          </cell>
          <cell r="G264">
            <v>3992100001</v>
          </cell>
          <cell r="H264" t="str">
            <v>MEDIAS ANTIEMBOLICAS A LA RODILLA</v>
          </cell>
          <cell r="I264">
            <v>1</v>
          </cell>
          <cell r="J264" t="str">
            <v>PIEZA</v>
          </cell>
          <cell r="K264">
            <v>3992</v>
          </cell>
          <cell r="L264" t="str">
            <v>VALERI MARISOL SOTO COBOS</v>
          </cell>
          <cell r="M264">
            <v>2022432</v>
          </cell>
          <cell r="N264" t="str">
            <v>PABLO DE LA CRUZ HERNANDEZ ROJAS</v>
          </cell>
          <cell r="O264">
            <v>22028025</v>
          </cell>
          <cell r="P264" t="str">
            <v>JESUS</v>
          </cell>
          <cell r="Q264">
            <v>46084</v>
          </cell>
          <cell r="R264" t="str">
            <v>COTIZACION</v>
          </cell>
        </row>
        <row r="265">
          <cell r="A265" t="str">
            <v>106/2026</v>
          </cell>
          <cell r="B265">
            <v>106</v>
          </cell>
          <cell r="C265" t="str">
            <v>COMPRA POR FONDO</v>
          </cell>
          <cell r="D265">
            <v>46084</v>
          </cell>
          <cell r="E265" t="str">
            <v>ALMACEN DE ÁREAS QUIRURGICAS</v>
          </cell>
          <cell r="F265" t="str">
            <v>AAQX014/03/03/2026</v>
          </cell>
          <cell r="G265">
            <v>2541100016</v>
          </cell>
          <cell r="H265" t="str">
            <v>TUBO ENDOTRAQUEAL CON GLOBO TRANSPARENTE ESTERIL CALIBRE 32 FR 8.0 MM PIEZA</v>
          </cell>
          <cell r="I265">
            <v>2000</v>
          </cell>
          <cell r="J265" t="str">
            <v>PIEZA</v>
          </cell>
          <cell r="K265">
            <v>2541</v>
          </cell>
          <cell r="L265" t="str">
            <v>N/A</v>
          </cell>
          <cell r="M265" t="str">
            <v>N/A</v>
          </cell>
          <cell r="N265" t="str">
            <v>N/A</v>
          </cell>
          <cell r="O265" t="str">
            <v>N/A</v>
          </cell>
          <cell r="P265" t="str">
            <v>BRENDA</v>
          </cell>
          <cell r="Q265">
            <v>46084</v>
          </cell>
          <cell r="R265" t="str">
            <v>CANCELADO</v>
          </cell>
          <cell r="S265" t="str">
            <v>SE SOLICITA APOYO AL JIM A TRAVES DE ALMACEN GENERAL FAA</v>
          </cell>
        </row>
        <row r="266">
          <cell r="A266" t="str">
            <v>107/2026</v>
          </cell>
          <cell r="B266">
            <v>107</v>
          </cell>
        </row>
        <row r="267">
          <cell r="A267" t="str">
            <v>108/2026</v>
          </cell>
          <cell r="B267">
            <v>108</v>
          </cell>
          <cell r="C267" t="str">
            <v>SUBROGACION</v>
          </cell>
          <cell r="D267">
            <v>46084</v>
          </cell>
          <cell r="E267" t="str">
            <v>ORTOPEDIA Y TRAUMA</v>
          </cell>
          <cell r="G267">
            <v>3992100001</v>
          </cell>
          <cell r="H267" t="str">
            <v>ANCLA TODO SUTURA 1.7 MM</v>
          </cell>
          <cell r="I267">
            <v>1</v>
          </cell>
          <cell r="J267" t="str">
            <v>PIEZA</v>
          </cell>
          <cell r="K267">
            <v>3992</v>
          </cell>
          <cell r="L267" t="str">
            <v>ATZIRI DENISSE VAZQUEZ CALDERA</v>
          </cell>
          <cell r="M267">
            <v>2005437</v>
          </cell>
          <cell r="N267" t="str">
            <v>ATZIRI DENISSE VAZQUEZ CALDERA</v>
          </cell>
          <cell r="O267">
            <v>6070706</v>
          </cell>
          <cell r="P267" t="str">
            <v>JESUS</v>
          </cell>
          <cell r="Q267">
            <v>46084</v>
          </cell>
          <cell r="R267" t="str">
            <v>COTIZACION</v>
          </cell>
        </row>
        <row r="268">
          <cell r="A268" t="str">
            <v>108/2026</v>
          </cell>
          <cell r="B268">
            <v>108</v>
          </cell>
          <cell r="C268" t="str">
            <v>SUBROGACION</v>
          </cell>
          <cell r="D268">
            <v>46084</v>
          </cell>
          <cell r="E268" t="str">
            <v>ORTOPEDIA Y TRAUMA</v>
          </cell>
          <cell r="G268">
            <v>3992100001</v>
          </cell>
          <cell r="H268" t="str">
            <v>RENTA DE  ARTROSCOPIO CON LENTES 30, 70</v>
          </cell>
          <cell r="I268">
            <v>1</v>
          </cell>
          <cell r="J268" t="str">
            <v>SERVICIO</v>
          </cell>
          <cell r="K268">
            <v>3992</v>
          </cell>
          <cell r="L268" t="str">
            <v>ATZIRI DENISSE VAZQUEZ CALDERA</v>
          </cell>
          <cell r="M268">
            <v>2005437</v>
          </cell>
          <cell r="N268" t="str">
            <v>ATZIRI DENISSE VAZQUEZ CALDERA</v>
          </cell>
          <cell r="O268">
            <v>6070706</v>
          </cell>
          <cell r="P268" t="str">
            <v>JESUS</v>
          </cell>
          <cell r="Q268">
            <v>46084</v>
          </cell>
          <cell r="R268" t="str">
            <v>COTIZACION</v>
          </cell>
        </row>
        <row r="269">
          <cell r="A269" t="str">
            <v>109/2026</v>
          </cell>
          <cell r="B269">
            <v>109</v>
          </cell>
          <cell r="C269" t="str">
            <v>SUBROGACION</v>
          </cell>
          <cell r="D269">
            <v>46084</v>
          </cell>
          <cell r="E269" t="str">
            <v>ORTOPEDIA Y TRAUMA</v>
          </cell>
          <cell r="G269">
            <v>3992100001</v>
          </cell>
          <cell r="H269" t="str">
            <v>SUTURAS MENISCALES FAST FIX</v>
          </cell>
          <cell r="I269">
            <v>2</v>
          </cell>
          <cell r="J269" t="str">
            <v>PIEZA</v>
          </cell>
          <cell r="K269">
            <v>3992</v>
          </cell>
          <cell r="L269" t="str">
            <v>ALMA DELIA MARTINEZ LOPEZ</v>
          </cell>
          <cell r="M269">
            <v>981279</v>
          </cell>
          <cell r="N269" t="str">
            <v>ALMA DELIA MARTINEZ LOPEZ</v>
          </cell>
          <cell r="O269">
            <v>6056940</v>
          </cell>
          <cell r="P269" t="str">
            <v>JESUS</v>
          </cell>
          <cell r="Q269">
            <v>46084</v>
          </cell>
          <cell r="R269" t="str">
            <v>COTIZACION</v>
          </cell>
        </row>
        <row r="270">
          <cell r="A270" t="str">
            <v>109/2026</v>
          </cell>
          <cell r="B270">
            <v>109</v>
          </cell>
          <cell r="C270" t="str">
            <v>SUBROGACION</v>
          </cell>
          <cell r="D270">
            <v>46084</v>
          </cell>
          <cell r="E270" t="str">
            <v>ORTOPEDIA Y TRAUMA</v>
          </cell>
          <cell r="G270">
            <v>3992100001</v>
          </cell>
          <cell r="H270" t="str">
            <v>MENISCAL PROTECTOR</v>
          </cell>
          <cell r="I270">
            <v>1</v>
          </cell>
          <cell r="J270" t="str">
            <v>PIEZA</v>
          </cell>
          <cell r="K270">
            <v>3992</v>
          </cell>
          <cell r="L270" t="str">
            <v>ALMA DELIA MARTINEZ LOPEZ</v>
          </cell>
          <cell r="M270">
            <v>981279</v>
          </cell>
          <cell r="N270" t="str">
            <v>ALMA DELIA MARTINEZ LOPEZ</v>
          </cell>
          <cell r="O270">
            <v>6056940</v>
          </cell>
          <cell r="P270" t="str">
            <v>JESUS</v>
          </cell>
          <cell r="Q270">
            <v>46084</v>
          </cell>
          <cell r="R270" t="str">
            <v>COTIZACION</v>
          </cell>
        </row>
        <row r="271">
          <cell r="A271" t="str">
            <v>109/2026</v>
          </cell>
          <cell r="B271">
            <v>109</v>
          </cell>
          <cell r="C271" t="str">
            <v>SUBROGACION</v>
          </cell>
          <cell r="D271">
            <v>46084</v>
          </cell>
          <cell r="E271" t="str">
            <v>ORTOPEDIA Y TRAUMA</v>
          </cell>
          <cell r="G271">
            <v>3992100001</v>
          </cell>
          <cell r="H271" t="str">
            <v>RENTA DE TORRE DE ARTROSCOPIA</v>
          </cell>
          <cell r="I271">
            <v>1</v>
          </cell>
          <cell r="J271" t="str">
            <v>SERVICIO</v>
          </cell>
          <cell r="K271">
            <v>3992</v>
          </cell>
          <cell r="L271" t="str">
            <v>ALMA DELIA MARTINEZ LOPEZ</v>
          </cell>
          <cell r="M271">
            <v>981279</v>
          </cell>
          <cell r="N271" t="str">
            <v>ALMA DELIA MARTINEZ LOPEZ</v>
          </cell>
          <cell r="O271">
            <v>6056940</v>
          </cell>
          <cell r="P271" t="str">
            <v>JESUS</v>
          </cell>
          <cell r="Q271">
            <v>46084</v>
          </cell>
          <cell r="R271" t="str">
            <v>COTIZACION</v>
          </cell>
        </row>
        <row r="272">
          <cell r="A272" t="str">
            <v>110/2026</v>
          </cell>
          <cell r="B272">
            <v>110</v>
          </cell>
          <cell r="C272" t="str">
            <v>COMPRA POR FONDO</v>
          </cell>
          <cell r="D272">
            <v>46084</v>
          </cell>
          <cell r="E272" t="str">
            <v>DIVISION DE SERVICIOS GENERALES</v>
          </cell>
          <cell r="F272" t="str">
            <v>FDSG/102/2026</v>
          </cell>
          <cell r="G272">
            <v>3571003001</v>
          </cell>
          <cell r="H272" t="str">
            <v>MANTENIMIENTO PREVENTIVO Y CORRECTIVO A EQUIPO DE AIRE ACONDICIONADO DE 1 TR AREA BLANCA</v>
          </cell>
          <cell r="I272">
            <v>1</v>
          </cell>
          <cell r="J272" t="str">
            <v>SERVICIO</v>
          </cell>
          <cell r="K272">
            <v>3571</v>
          </cell>
          <cell r="L272" t="str">
            <v>N/A</v>
          </cell>
          <cell r="M272" t="str">
            <v>N/A</v>
          </cell>
          <cell r="N272" t="str">
            <v>N/A</v>
          </cell>
          <cell r="O272" t="str">
            <v>N/A</v>
          </cell>
          <cell r="P272" t="str">
            <v>BRENDA</v>
          </cell>
          <cell r="Q272">
            <v>46080</v>
          </cell>
          <cell r="R272" t="str">
            <v>COTIZACION</v>
          </cell>
        </row>
        <row r="273">
          <cell r="A273" t="str">
            <v>111/2026</v>
          </cell>
          <cell r="B273">
            <v>111</v>
          </cell>
          <cell r="C273" t="str">
            <v>COMPRA POR FONDO</v>
          </cell>
          <cell r="D273">
            <v>46084</v>
          </cell>
          <cell r="E273" t="str">
            <v>UCINEX</v>
          </cell>
          <cell r="F273" t="str">
            <v>UCINEX/017/2026</v>
          </cell>
          <cell r="G273">
            <v>2531101051</v>
          </cell>
          <cell r="H273" t="str">
            <v>ALPROSTADIL 500 MICROGRAMOS</v>
          </cell>
          <cell r="I273">
            <v>120</v>
          </cell>
          <cell r="J273" t="str">
            <v>FRASCO</v>
          </cell>
          <cell r="K273">
            <v>2531</v>
          </cell>
          <cell r="L273" t="str">
            <v>N/A</v>
          </cell>
          <cell r="M273" t="str">
            <v>N/A</v>
          </cell>
          <cell r="N273" t="str">
            <v>N/A</v>
          </cell>
          <cell r="O273" t="str">
            <v>N/A</v>
          </cell>
          <cell r="P273" t="str">
            <v>BRENDA</v>
          </cell>
          <cell r="Q273">
            <v>46084</v>
          </cell>
          <cell r="R273" t="str">
            <v>COTIZACION</v>
          </cell>
        </row>
        <row r="274">
          <cell r="A274" t="str">
            <v>112/2026</v>
          </cell>
          <cell r="B274">
            <v>112</v>
          </cell>
          <cell r="C274" t="str">
            <v>REEMBOLSO</v>
          </cell>
          <cell r="D274">
            <v>46085</v>
          </cell>
          <cell r="E274" t="str">
            <v>NEUMOLOGIA</v>
          </cell>
          <cell r="F274" t="str">
            <v>N/A</v>
          </cell>
          <cell r="G274">
            <v>3992100001</v>
          </cell>
          <cell r="H274" t="str">
            <v>SYSTANE COMPLETE SP</v>
          </cell>
          <cell r="I274">
            <v>1</v>
          </cell>
          <cell r="J274" t="str">
            <v>FRASCO</v>
          </cell>
          <cell r="K274">
            <v>3992</v>
          </cell>
          <cell r="L274" t="str">
            <v>GLORIA MARINA MORAN MALDONADO</v>
          </cell>
          <cell r="M274">
            <v>941144</v>
          </cell>
          <cell r="N274" t="str">
            <v>GLORIA MARINA MORAN MALDONADO</v>
          </cell>
          <cell r="O274">
            <v>6054209</v>
          </cell>
          <cell r="P274" t="str">
            <v>JESUS</v>
          </cell>
          <cell r="Q274">
            <v>46085</v>
          </cell>
          <cell r="R274" t="str">
            <v>COTIZACION</v>
          </cell>
        </row>
        <row r="275">
          <cell r="A275" t="str">
            <v>112/2026</v>
          </cell>
          <cell r="B275">
            <v>112</v>
          </cell>
          <cell r="C275" t="str">
            <v>REEMBOLSO</v>
          </cell>
          <cell r="D275">
            <v>46085</v>
          </cell>
          <cell r="E275" t="str">
            <v>NEUMOLOGIA</v>
          </cell>
          <cell r="F275" t="str">
            <v>N/A</v>
          </cell>
          <cell r="G275">
            <v>3992100001</v>
          </cell>
          <cell r="H275" t="str">
            <v>MOSAPRIDA</v>
          </cell>
          <cell r="I275">
            <v>2</v>
          </cell>
          <cell r="J275" t="str">
            <v>CAJA</v>
          </cell>
          <cell r="K275">
            <v>3992</v>
          </cell>
          <cell r="L275" t="str">
            <v>GLORIA MARINA MORAN MALDONADO</v>
          </cell>
          <cell r="M275">
            <v>941144</v>
          </cell>
          <cell r="N275" t="str">
            <v>GLORIA MARINA MORAN MALDONADO</v>
          </cell>
          <cell r="O275">
            <v>6054209</v>
          </cell>
          <cell r="P275" t="str">
            <v>JESUS</v>
          </cell>
          <cell r="Q275">
            <v>46085</v>
          </cell>
          <cell r="R275" t="str">
            <v>COTIZACION</v>
          </cell>
        </row>
        <row r="276">
          <cell r="A276" t="str">
            <v>112/2026</v>
          </cell>
          <cell r="B276">
            <v>112</v>
          </cell>
          <cell r="C276" t="str">
            <v>REEMBOLSO</v>
          </cell>
          <cell r="D276">
            <v>46085</v>
          </cell>
          <cell r="E276" t="str">
            <v>NEUMOLOGIA</v>
          </cell>
          <cell r="F276" t="str">
            <v>N/A</v>
          </cell>
          <cell r="G276">
            <v>3992100001</v>
          </cell>
          <cell r="H276" t="str">
            <v>TEZOPROZAM</v>
          </cell>
          <cell r="I276">
            <v>2</v>
          </cell>
          <cell r="J276" t="str">
            <v>CAJA</v>
          </cell>
          <cell r="K276">
            <v>3992</v>
          </cell>
          <cell r="L276" t="str">
            <v>GLORIA MARINA MORAN MALDONADO</v>
          </cell>
          <cell r="M276">
            <v>941144</v>
          </cell>
          <cell r="N276" t="str">
            <v>GLORIA MARINA MORAN MALDONADO</v>
          </cell>
          <cell r="O276">
            <v>6054209</v>
          </cell>
          <cell r="P276" t="str">
            <v>JESUS</v>
          </cell>
          <cell r="Q276">
            <v>46085</v>
          </cell>
          <cell r="R276" t="str">
            <v>COTIZACION</v>
          </cell>
        </row>
        <row r="277">
          <cell r="A277" t="str">
            <v>112/2026</v>
          </cell>
          <cell r="B277">
            <v>112</v>
          </cell>
          <cell r="C277" t="str">
            <v>REEMBOLSO</v>
          </cell>
          <cell r="D277">
            <v>46085</v>
          </cell>
          <cell r="E277" t="str">
            <v>NEUMOLOGIA</v>
          </cell>
          <cell r="F277" t="str">
            <v>N/A</v>
          </cell>
          <cell r="G277">
            <v>3992100001</v>
          </cell>
          <cell r="H277" t="str">
            <v>ROSUVASTATINA</v>
          </cell>
          <cell r="I277">
            <v>2</v>
          </cell>
          <cell r="J277" t="str">
            <v>CAJA</v>
          </cell>
          <cell r="K277">
            <v>3992</v>
          </cell>
          <cell r="L277" t="str">
            <v>GLORIA MARINA MORAN MALDONADO</v>
          </cell>
          <cell r="M277">
            <v>941144</v>
          </cell>
          <cell r="N277" t="str">
            <v>GLORIA MARINA MORAN MALDONADO</v>
          </cell>
          <cell r="O277">
            <v>6054209</v>
          </cell>
          <cell r="P277" t="str">
            <v>JESUS</v>
          </cell>
          <cell r="Q277">
            <v>46085</v>
          </cell>
          <cell r="R277" t="str">
            <v>COTIZACION</v>
          </cell>
        </row>
        <row r="278">
          <cell r="A278" t="str">
            <v>112/2026</v>
          </cell>
          <cell r="B278">
            <v>112</v>
          </cell>
          <cell r="C278" t="str">
            <v>REEMBOLSO</v>
          </cell>
          <cell r="D278">
            <v>46085</v>
          </cell>
          <cell r="E278" t="str">
            <v>NEUMOLOGIA</v>
          </cell>
          <cell r="F278" t="str">
            <v>N/A</v>
          </cell>
          <cell r="G278">
            <v>3992100001</v>
          </cell>
          <cell r="H278" t="str">
            <v>TIRAS REACTIVAS PARA GLUCOMETRO</v>
          </cell>
          <cell r="I278">
            <v>20</v>
          </cell>
          <cell r="J278" t="str">
            <v>PIEZA</v>
          </cell>
          <cell r="K278">
            <v>3992</v>
          </cell>
          <cell r="L278" t="str">
            <v>GLORIA MARINA MORAN MALDONADO</v>
          </cell>
          <cell r="M278">
            <v>941144</v>
          </cell>
          <cell r="N278" t="str">
            <v>GLORIA MARINA MORAN MALDONADO</v>
          </cell>
          <cell r="O278">
            <v>6054209</v>
          </cell>
          <cell r="P278" t="str">
            <v>JESUS</v>
          </cell>
          <cell r="Q278">
            <v>46085</v>
          </cell>
          <cell r="R278" t="str">
            <v>COTIZACION</v>
          </cell>
        </row>
        <row r="279">
          <cell r="A279" t="str">
            <v>112/2026</v>
          </cell>
          <cell r="B279">
            <v>112</v>
          </cell>
          <cell r="C279" t="str">
            <v>REEMBOLSO</v>
          </cell>
          <cell r="D279">
            <v>46085</v>
          </cell>
          <cell r="E279" t="str">
            <v>NEUMOLOGIA</v>
          </cell>
          <cell r="F279" t="str">
            <v>N/A</v>
          </cell>
          <cell r="G279">
            <v>3992100001</v>
          </cell>
          <cell r="H279" t="str">
            <v>LINAGLIPTINA 5 MG</v>
          </cell>
          <cell r="I279">
            <v>1</v>
          </cell>
          <cell r="J279" t="str">
            <v>CAJA</v>
          </cell>
          <cell r="K279">
            <v>3992</v>
          </cell>
          <cell r="L279" t="str">
            <v>GLORIA MARINA MORAN MALDONADO</v>
          </cell>
          <cell r="M279">
            <v>941144</v>
          </cell>
          <cell r="N279" t="str">
            <v>GLORIA MARINA MORAN MALDONADO</v>
          </cell>
          <cell r="O279">
            <v>6054209</v>
          </cell>
          <cell r="P279" t="str">
            <v>JESUS</v>
          </cell>
          <cell r="Q279">
            <v>46085</v>
          </cell>
          <cell r="R279" t="str">
            <v>COTIZACION</v>
          </cell>
        </row>
        <row r="280">
          <cell r="A280" t="str">
            <v>112/2026</v>
          </cell>
          <cell r="B280">
            <v>112</v>
          </cell>
          <cell r="C280" t="str">
            <v>REEMBOLSO</v>
          </cell>
          <cell r="D280">
            <v>46085</v>
          </cell>
          <cell r="E280" t="str">
            <v>NEUMOLOGIA</v>
          </cell>
          <cell r="F280" t="str">
            <v>N/A</v>
          </cell>
          <cell r="G280">
            <v>3992100001</v>
          </cell>
          <cell r="H280" t="str">
            <v>ACIDO FOLICO 0.5</v>
          </cell>
          <cell r="I280">
            <v>1</v>
          </cell>
          <cell r="J280" t="str">
            <v>CAJA</v>
          </cell>
          <cell r="K280">
            <v>3992</v>
          </cell>
          <cell r="L280" t="str">
            <v>GLORIA MARINA MORAN MALDONADO</v>
          </cell>
          <cell r="M280">
            <v>941144</v>
          </cell>
          <cell r="N280" t="str">
            <v>GLORIA MARINA MORAN MALDONADO</v>
          </cell>
          <cell r="O280">
            <v>6054209</v>
          </cell>
          <cell r="P280" t="str">
            <v>JESUS</v>
          </cell>
          <cell r="Q280">
            <v>46085</v>
          </cell>
          <cell r="R280" t="str">
            <v>COTIZACION</v>
          </cell>
        </row>
        <row r="281">
          <cell r="A281" t="str">
            <v>112/2026</v>
          </cell>
          <cell r="B281">
            <v>112</v>
          </cell>
          <cell r="C281" t="str">
            <v>REEMBOLSO</v>
          </cell>
          <cell r="D281">
            <v>46085</v>
          </cell>
          <cell r="E281" t="str">
            <v>NEUMOLOGIA</v>
          </cell>
          <cell r="F281" t="str">
            <v>N/A</v>
          </cell>
          <cell r="G281">
            <v>3992100001</v>
          </cell>
          <cell r="H281" t="str">
            <v>CLOBESOL 0.05</v>
          </cell>
          <cell r="I281">
            <v>1</v>
          </cell>
          <cell r="J281" t="str">
            <v>CAJA</v>
          </cell>
          <cell r="K281">
            <v>3992</v>
          </cell>
          <cell r="L281" t="str">
            <v>GLORIA MARINA MORAN MALDONADO</v>
          </cell>
          <cell r="M281">
            <v>941144</v>
          </cell>
          <cell r="N281" t="str">
            <v>GLORIA MARINA MORAN MALDONADO</v>
          </cell>
          <cell r="O281">
            <v>6054209</v>
          </cell>
          <cell r="P281" t="str">
            <v>JESUS</v>
          </cell>
          <cell r="Q281">
            <v>46085</v>
          </cell>
          <cell r="R281" t="str">
            <v>COTIZACION</v>
          </cell>
        </row>
        <row r="282">
          <cell r="A282" t="str">
            <v>112/2026</v>
          </cell>
          <cell r="B282">
            <v>112</v>
          </cell>
          <cell r="C282" t="str">
            <v>REEMBOLSO</v>
          </cell>
          <cell r="D282">
            <v>46085</v>
          </cell>
          <cell r="E282" t="str">
            <v>NEUMOLOGIA</v>
          </cell>
          <cell r="F282" t="str">
            <v>N/A</v>
          </cell>
          <cell r="G282">
            <v>3992100001</v>
          </cell>
          <cell r="H282" t="str">
            <v>BEXIDENT EMCIAS</v>
          </cell>
          <cell r="I282">
            <v>1</v>
          </cell>
          <cell r="J282" t="str">
            <v>CAJA</v>
          </cell>
          <cell r="K282">
            <v>3992</v>
          </cell>
          <cell r="L282" t="str">
            <v>GLORIA MARINA MORAN MALDONADO</v>
          </cell>
          <cell r="M282">
            <v>941144</v>
          </cell>
          <cell r="N282" t="str">
            <v>GLORIA MARINA MORAN MALDONADO</v>
          </cell>
          <cell r="O282">
            <v>6054209</v>
          </cell>
          <cell r="P282" t="str">
            <v>JESUS</v>
          </cell>
          <cell r="Q282">
            <v>46085</v>
          </cell>
          <cell r="R282" t="str">
            <v>COTIZACION</v>
          </cell>
        </row>
        <row r="283">
          <cell r="A283" t="str">
            <v>113/2026</v>
          </cell>
          <cell r="B283">
            <v>113</v>
          </cell>
          <cell r="C283" t="str">
            <v>SUBROGACION</v>
          </cell>
          <cell r="D283">
            <v>46087</v>
          </cell>
          <cell r="E283" t="str">
            <v>ONCOLOGIA</v>
          </cell>
          <cell r="F283" t="str">
            <v>N/A</v>
          </cell>
          <cell r="G283">
            <v>3992100001</v>
          </cell>
          <cell r="H283" t="str">
            <v>RESONANCIA MAGENTICA GLANDULA MAMARIA CONTRASTADA</v>
          </cell>
          <cell r="I283">
            <v>1</v>
          </cell>
          <cell r="J283" t="str">
            <v>SERVICIO</v>
          </cell>
          <cell r="K283">
            <v>3992</v>
          </cell>
          <cell r="L283" t="str">
            <v>SANDRA MIREYA VILLANUEVA MAGAÑA</v>
          </cell>
          <cell r="M283">
            <v>2004073</v>
          </cell>
          <cell r="N283" t="str">
            <v>SANDRA MIREYA VILLANUEVA MAGAÑA</v>
          </cell>
          <cell r="O283">
            <v>6056566</v>
          </cell>
          <cell r="P283" t="str">
            <v>JESUS</v>
          </cell>
          <cell r="Q283">
            <v>46087</v>
          </cell>
          <cell r="R283" t="str">
            <v>COTIZACION</v>
          </cell>
          <cell r="T283" t="str">
            <v>693/2026</v>
          </cell>
          <cell r="U283">
            <v>46101</v>
          </cell>
          <cell r="V283">
            <v>3706.9</v>
          </cell>
          <cell r="W283">
            <v>3706.9</v>
          </cell>
          <cell r="X283">
            <v>593.10400000000004</v>
          </cell>
          <cell r="Y283">
            <v>4300.0039999999999</v>
          </cell>
        </row>
        <row r="284">
          <cell r="A284" t="str">
            <v>114/2026</v>
          </cell>
          <cell r="B284">
            <v>114</v>
          </cell>
          <cell r="C284" t="str">
            <v>REEMBOLSO</v>
          </cell>
          <cell r="D284">
            <v>46087</v>
          </cell>
          <cell r="E284" t="str">
            <v>ARTROSCOPIA</v>
          </cell>
          <cell r="F284" t="str">
            <v>N/A</v>
          </cell>
          <cell r="G284">
            <v>3992100001</v>
          </cell>
          <cell r="H284" t="str">
            <v>RENTA DE TORRE DE ARTROSCOPIA</v>
          </cell>
          <cell r="I284">
            <v>1</v>
          </cell>
          <cell r="J284" t="str">
            <v>SERVICIO</v>
          </cell>
          <cell r="K284">
            <v>3992</v>
          </cell>
          <cell r="L284" t="str">
            <v>BRENDA GUADALUPE BAILON CRUZ</v>
          </cell>
          <cell r="M284">
            <v>2002099</v>
          </cell>
          <cell r="N284" t="str">
            <v>BRENDA GUADALUPE BAILON CRUZ</v>
          </cell>
          <cell r="O284">
            <v>6038562</v>
          </cell>
          <cell r="P284" t="str">
            <v>JESUS</v>
          </cell>
          <cell r="Q284">
            <v>46087</v>
          </cell>
          <cell r="R284" t="str">
            <v>COTIZACION</v>
          </cell>
          <cell r="T284" t="str">
            <v>697/2026</v>
          </cell>
          <cell r="U284">
            <v>46101</v>
          </cell>
          <cell r="V284">
            <v>2900</v>
          </cell>
          <cell r="W284">
            <v>2900</v>
          </cell>
          <cell r="X284">
            <v>464</v>
          </cell>
          <cell r="Y284">
            <v>3364</v>
          </cell>
        </row>
        <row r="285">
          <cell r="A285" t="str">
            <v>114/2026</v>
          </cell>
          <cell r="B285">
            <v>114</v>
          </cell>
          <cell r="C285" t="str">
            <v>REEMBOLSO</v>
          </cell>
          <cell r="D285">
            <v>46087</v>
          </cell>
          <cell r="E285" t="str">
            <v>ARTROSCOPIA</v>
          </cell>
          <cell r="F285" t="str">
            <v>N/A</v>
          </cell>
          <cell r="G285">
            <v>3992100001</v>
          </cell>
          <cell r="H285" t="str">
            <v>SET DE HOMBRO CON BOMBA DE IRRIGACIÓN</v>
          </cell>
          <cell r="I285">
            <v>1</v>
          </cell>
          <cell r="J285" t="str">
            <v>SERVICIO</v>
          </cell>
          <cell r="K285">
            <v>3992</v>
          </cell>
          <cell r="L285" t="str">
            <v>BRENDA GUADALUPE BAILON CRUZ</v>
          </cell>
          <cell r="M285">
            <v>2002099</v>
          </cell>
          <cell r="N285" t="str">
            <v>BRENDA GUADALUPE BAILON CRUZ</v>
          </cell>
          <cell r="O285">
            <v>6038562</v>
          </cell>
          <cell r="P285" t="str">
            <v>JESUS</v>
          </cell>
          <cell r="Q285">
            <v>46087</v>
          </cell>
          <cell r="R285" t="str">
            <v>COTIZACION</v>
          </cell>
          <cell r="T285" t="str">
            <v>697/2026</v>
          </cell>
          <cell r="U285">
            <v>46101</v>
          </cell>
          <cell r="V285">
            <v>10100</v>
          </cell>
          <cell r="W285">
            <v>10100</v>
          </cell>
          <cell r="X285">
            <v>1616</v>
          </cell>
          <cell r="Y285">
            <v>11716</v>
          </cell>
        </row>
        <row r="286">
          <cell r="A286" t="str">
            <v>114/2026</v>
          </cell>
          <cell r="B286">
            <v>114</v>
          </cell>
          <cell r="C286" t="str">
            <v>REEMBOLSO</v>
          </cell>
          <cell r="D286">
            <v>46087</v>
          </cell>
          <cell r="E286" t="str">
            <v>ARTROSCOPIA</v>
          </cell>
          <cell r="F286" t="str">
            <v>N/A</v>
          </cell>
          <cell r="G286">
            <v>3992100001</v>
          </cell>
          <cell r="H286" t="str">
            <v>ANCLA PEEK 5.5 CON TRIPLE SUTURA</v>
          </cell>
          <cell r="I286">
            <v>2</v>
          </cell>
          <cell r="J286" t="str">
            <v>PIEZA</v>
          </cell>
          <cell r="K286">
            <v>3992</v>
          </cell>
          <cell r="L286" t="str">
            <v>BRENDA GUADALUPE BAILON CRUZ</v>
          </cell>
          <cell r="M286">
            <v>2002099</v>
          </cell>
          <cell r="N286" t="str">
            <v>BRENDA GUADALUPE BAILON CRUZ</v>
          </cell>
          <cell r="O286">
            <v>6038562</v>
          </cell>
          <cell r="P286" t="str">
            <v>JESUS</v>
          </cell>
          <cell r="Q286">
            <v>46087</v>
          </cell>
          <cell r="R286" t="str">
            <v>COTIZACION</v>
          </cell>
          <cell r="T286" t="str">
            <v>697/2026</v>
          </cell>
          <cell r="U286">
            <v>46101</v>
          </cell>
          <cell r="V286">
            <v>11100</v>
          </cell>
          <cell r="W286">
            <v>11100</v>
          </cell>
          <cell r="X286">
            <v>1776</v>
          </cell>
          <cell r="Y286">
            <v>12876</v>
          </cell>
        </row>
        <row r="287">
          <cell r="A287" t="str">
            <v>114/2026</v>
          </cell>
          <cell r="B287">
            <v>114</v>
          </cell>
          <cell r="C287" t="str">
            <v>REEMBOLSO</v>
          </cell>
          <cell r="D287">
            <v>46087</v>
          </cell>
          <cell r="E287" t="str">
            <v>ARTROSCOPIA</v>
          </cell>
          <cell r="F287" t="str">
            <v>N/A</v>
          </cell>
          <cell r="G287">
            <v>3992100001</v>
          </cell>
          <cell r="H287" t="str">
            <v>ANCLA 1.9 O 2.7 MM TODO SUTURA CON AGUJA</v>
          </cell>
          <cell r="I287">
            <v>1</v>
          </cell>
          <cell r="J287" t="str">
            <v>PIEZA</v>
          </cell>
          <cell r="K287">
            <v>3992</v>
          </cell>
          <cell r="L287" t="str">
            <v>BRENDA GUADALUPE BAILON CRUZ</v>
          </cell>
          <cell r="M287">
            <v>2002099</v>
          </cell>
          <cell r="N287" t="str">
            <v>BRENDA GUADALUPE BAILON CRUZ</v>
          </cell>
          <cell r="O287">
            <v>6038562</v>
          </cell>
          <cell r="P287" t="str">
            <v>JESUS</v>
          </cell>
          <cell r="Q287">
            <v>46087</v>
          </cell>
          <cell r="R287" t="str">
            <v>COTIZACION</v>
          </cell>
          <cell r="T287" t="str">
            <v>697/2026</v>
          </cell>
          <cell r="U287">
            <v>46101</v>
          </cell>
          <cell r="V287">
            <v>10600</v>
          </cell>
          <cell r="W287">
            <v>10600</v>
          </cell>
          <cell r="X287">
            <v>1696</v>
          </cell>
          <cell r="Y287">
            <v>12296</v>
          </cell>
        </row>
        <row r="288">
          <cell r="A288" t="str">
            <v>115/2026</v>
          </cell>
          <cell r="B288">
            <v>115</v>
          </cell>
          <cell r="C288" t="str">
            <v>COMPRA POR FONDO</v>
          </cell>
          <cell r="D288">
            <v>46087</v>
          </cell>
          <cell r="E288" t="str">
            <v>DIVISION DE SERVICIOS GENERALES</v>
          </cell>
          <cell r="F288" t="str">
            <v>FDSG/112/2026</v>
          </cell>
          <cell r="G288">
            <v>3121902001</v>
          </cell>
          <cell r="H288" t="str">
            <v>SERVICIO SUMINISTRO DE GAS LP</v>
          </cell>
          <cell r="I288">
            <v>800</v>
          </cell>
          <cell r="J288" t="str">
            <v>SERVICIO</v>
          </cell>
          <cell r="K288">
            <v>3121</v>
          </cell>
          <cell r="L288" t="str">
            <v>N/A</v>
          </cell>
          <cell r="M288" t="str">
            <v>N/A</v>
          </cell>
          <cell r="N288" t="str">
            <v>N/A</v>
          </cell>
          <cell r="O288" t="str">
            <v>N/A</v>
          </cell>
          <cell r="P288" t="str">
            <v>BRENDA</v>
          </cell>
          <cell r="Q288">
            <v>46090</v>
          </cell>
          <cell r="R288" t="str">
            <v>AUT CAA</v>
          </cell>
          <cell r="T288" t="str">
            <v>726/2026</v>
          </cell>
          <cell r="U288">
            <v>46105</v>
          </cell>
          <cell r="V288">
            <v>9.07</v>
          </cell>
          <cell r="W288">
            <v>7256</v>
          </cell>
          <cell r="X288">
            <v>1160.96</v>
          </cell>
          <cell r="Y288">
            <v>8416.9599999999991</v>
          </cell>
          <cell r="Z288">
            <v>16</v>
          </cell>
          <cell r="AA288">
            <v>46106</v>
          </cell>
          <cell r="AD288">
            <v>800</v>
          </cell>
          <cell r="AE288">
            <v>142</v>
          </cell>
          <cell r="AF288">
            <v>46105</v>
          </cell>
          <cell r="AG288" t="str">
            <v>DISTRIBUIDORA DE GAS SAN JUAN SA DE CV</v>
          </cell>
        </row>
        <row r="289">
          <cell r="A289" t="str">
            <v>116/2026</v>
          </cell>
          <cell r="B289">
            <v>116</v>
          </cell>
          <cell r="C289" t="str">
            <v>COMPRA POR FONDO</v>
          </cell>
          <cell r="D289">
            <v>46087</v>
          </cell>
          <cell r="E289" t="str">
            <v>INGENIERIA BIOMEDICA</v>
          </cell>
          <cell r="F289" t="str">
            <v>FDIB/55/2026</v>
          </cell>
          <cell r="G289">
            <v>2751001056</v>
          </cell>
          <cell r="H289" t="str">
            <v>COLCHON HOSPITALARIO DE HULE ESPUMA DE DENSIDAD MEDIA SIN COSTURA EXTERIOR (PIOLA) EN VINIL NEGRO DE 1.96 LARGO X 85 CM ANCHO X 15 CM ALTURA</v>
          </cell>
          <cell r="I289">
            <v>30</v>
          </cell>
          <cell r="J289" t="str">
            <v>PIEZA</v>
          </cell>
          <cell r="K289">
            <v>2751</v>
          </cell>
          <cell r="L289" t="str">
            <v>N/A</v>
          </cell>
          <cell r="M289" t="str">
            <v>N/A</v>
          </cell>
          <cell r="N289" t="str">
            <v>N/A</v>
          </cell>
          <cell r="O289" t="str">
            <v>N/A</v>
          </cell>
          <cell r="P289" t="str">
            <v>JESUS</v>
          </cell>
          <cell r="Q289">
            <v>46087</v>
          </cell>
          <cell r="R289" t="str">
            <v>COTIZACION</v>
          </cell>
        </row>
        <row r="290">
          <cell r="A290" t="str">
            <v>117/2026</v>
          </cell>
          <cell r="B290">
            <v>117</v>
          </cell>
          <cell r="C290" t="str">
            <v>SUBROGACION</v>
          </cell>
          <cell r="D290">
            <v>46090</v>
          </cell>
          <cell r="E290" t="str">
            <v>INFECTOLOGIA</v>
          </cell>
          <cell r="F290" t="str">
            <v>N/A</v>
          </cell>
          <cell r="G290">
            <v>3992100001</v>
          </cell>
          <cell r="H290" t="str">
            <v>PCR</v>
          </cell>
          <cell r="I290">
            <v>1</v>
          </cell>
          <cell r="J290" t="str">
            <v>SERVICIO</v>
          </cell>
          <cell r="L290" t="str">
            <v>ARELLANO LOPEZ RICARDO</v>
          </cell>
          <cell r="M290">
            <v>2020147</v>
          </cell>
          <cell r="N290" t="str">
            <v>ARELLANO LOPEZ RICARDO</v>
          </cell>
          <cell r="O290">
            <v>5046193</v>
          </cell>
          <cell r="P290" t="str">
            <v>JESUS</v>
          </cell>
          <cell r="Q290">
            <v>46090</v>
          </cell>
          <cell r="R290" t="str">
            <v>COTIZACION</v>
          </cell>
        </row>
        <row r="291">
          <cell r="A291" t="str">
            <v>118/2026</v>
          </cell>
          <cell r="B291">
            <v>118</v>
          </cell>
          <cell r="C291" t="str">
            <v>COMPRA POR FONDO</v>
          </cell>
          <cell r="D291">
            <v>46090</v>
          </cell>
          <cell r="E291" t="str">
            <v>GINECOLOGIA</v>
          </cell>
          <cell r="F291" t="str">
            <v>AHCGSA/318/2026</v>
          </cell>
          <cell r="G291">
            <v>2541043002</v>
          </cell>
          <cell r="H291" t="str">
            <v>ESPEJO VAGINAL DESECHABLE MEDIANO ESTERIL PIEZA</v>
          </cell>
          <cell r="J291" t="str">
            <v>PIEZA</v>
          </cell>
          <cell r="K291">
            <v>2541</v>
          </cell>
          <cell r="L291" t="str">
            <v>N/A</v>
          </cell>
          <cell r="M291" t="str">
            <v>N/A</v>
          </cell>
          <cell r="N291" t="str">
            <v>N/A</v>
          </cell>
          <cell r="O291" t="str">
            <v>N/A</v>
          </cell>
          <cell r="P291" t="str">
            <v>BRENDA</v>
          </cell>
          <cell r="Q291">
            <v>46090</v>
          </cell>
          <cell r="R291" t="str">
            <v>CANCELADO</v>
          </cell>
          <cell r="S291" t="str">
            <v xml:space="preserve">SE ATIENDE EN EL FOLIO DSA #94 </v>
          </cell>
        </row>
        <row r="292">
          <cell r="A292" t="str">
            <v>118/2026</v>
          </cell>
          <cell r="B292">
            <v>118</v>
          </cell>
          <cell r="C292" t="str">
            <v>COMPRA POR FONDO</v>
          </cell>
          <cell r="D292">
            <v>46090</v>
          </cell>
          <cell r="E292" t="str">
            <v>GINECOLOGIA</v>
          </cell>
          <cell r="F292" t="str">
            <v>AHCGSA/318/2026</v>
          </cell>
          <cell r="G292">
            <v>2541243005</v>
          </cell>
          <cell r="H292" t="str">
            <v>060.360.0032 ESPEJO. VAGINAL DESECHABLE MEDIANO VALVA SUPERIOR DE 10.7 CM VALVA INFERIOR DE 12.0 CM ORIFICIO CENTRAL DE 3.4 CM. PIEZA.</v>
          </cell>
          <cell r="J292" t="str">
            <v>PIEZA</v>
          </cell>
          <cell r="K292">
            <v>2541</v>
          </cell>
          <cell r="L292" t="str">
            <v>N/A</v>
          </cell>
          <cell r="M292" t="str">
            <v>N/A</v>
          </cell>
          <cell r="N292" t="str">
            <v>N/A</v>
          </cell>
          <cell r="O292" t="str">
            <v>N/A</v>
          </cell>
          <cell r="P292" t="str">
            <v>BRENDA</v>
          </cell>
          <cell r="Q292">
            <v>46090</v>
          </cell>
          <cell r="R292" t="str">
            <v>CANCELADO</v>
          </cell>
          <cell r="S292" t="str">
            <v>SIMULA COMPRA FRACCIONADA CON EL CODIGO 2541043002</v>
          </cell>
        </row>
        <row r="293">
          <cell r="A293" t="str">
            <v>119/2026</v>
          </cell>
          <cell r="B293">
            <v>119</v>
          </cell>
          <cell r="C293" t="str">
            <v>REEMBOLSO</v>
          </cell>
          <cell r="D293">
            <v>46092</v>
          </cell>
          <cell r="E293" t="str">
            <v>NEUROCIRUGIA</v>
          </cell>
          <cell r="F293" t="str">
            <v>N/A</v>
          </cell>
          <cell r="G293">
            <v>3992100001</v>
          </cell>
          <cell r="H293" t="str">
            <v>BOLSA PARA MICROSCOPIO</v>
          </cell>
          <cell r="I293">
            <v>1</v>
          </cell>
          <cell r="J293" t="str">
            <v>SERVICIO</v>
          </cell>
          <cell r="L293" t="str">
            <v>CHAVEZ LOPEZ NANCY</v>
          </cell>
          <cell r="M293">
            <v>2022268</v>
          </cell>
          <cell r="N293" t="str">
            <v>CHAVEZ HERRERA ENRIQUE</v>
          </cell>
          <cell r="O293">
            <v>22045861</v>
          </cell>
          <cell r="P293" t="str">
            <v>JESUS</v>
          </cell>
          <cell r="Q293">
            <v>46092</v>
          </cell>
          <cell r="R293" t="str">
            <v>COTIZACION</v>
          </cell>
          <cell r="V293">
            <v>13500</v>
          </cell>
          <cell r="W293">
            <v>13500</v>
          </cell>
          <cell r="X293">
            <v>2160</v>
          </cell>
          <cell r="Y293">
            <v>15660</v>
          </cell>
          <cell r="AD293">
            <v>1</v>
          </cell>
          <cell r="AE293" t="str">
            <v>N/A</v>
          </cell>
          <cell r="AF293" t="str">
            <v>N/A</v>
          </cell>
          <cell r="AG293" t="str">
            <v>SURGICAL ASSISTANCE</v>
          </cell>
          <cell r="AH293" t="str">
            <v>ENTREGADO</v>
          </cell>
          <cell r="AI293" t="str">
            <v>N/A</v>
          </cell>
          <cell r="AJ293" t="str">
            <v>A 2450</v>
          </cell>
          <cell r="AK293">
            <v>46086</v>
          </cell>
        </row>
        <row r="294">
          <cell r="A294" t="str">
            <v>119/2026</v>
          </cell>
          <cell r="B294">
            <v>119</v>
          </cell>
          <cell r="C294" t="str">
            <v>REEMBOLSO</v>
          </cell>
          <cell r="D294">
            <v>46092</v>
          </cell>
          <cell r="E294" t="str">
            <v>NEUROCIRUGIA</v>
          </cell>
          <cell r="F294" t="str">
            <v>N/A</v>
          </cell>
          <cell r="G294">
            <v>3992100001</v>
          </cell>
          <cell r="H294" t="str">
            <v>RENTA DE CRANEOTOMO</v>
          </cell>
          <cell r="I294">
            <v>1</v>
          </cell>
          <cell r="J294" t="str">
            <v>SERVICIO</v>
          </cell>
          <cell r="L294" t="str">
            <v>CHAVEZ LOPEZ NANCY</v>
          </cell>
          <cell r="M294">
            <v>2022268</v>
          </cell>
          <cell r="N294" t="str">
            <v>CHAVEZ HERRERA ENRIQUE</v>
          </cell>
          <cell r="O294">
            <v>22045861</v>
          </cell>
          <cell r="P294" t="str">
            <v>JESUS</v>
          </cell>
          <cell r="Q294">
            <v>46092</v>
          </cell>
          <cell r="R294" t="str">
            <v>COTIZACION</v>
          </cell>
          <cell r="V294" t="str">
            <v>-</v>
          </cell>
          <cell r="W294" t="str">
            <v>-</v>
          </cell>
          <cell r="X294" t="str">
            <v>-</v>
          </cell>
          <cell r="Y294" t="str">
            <v>-</v>
          </cell>
          <cell r="AE294" t="str">
            <v>N/A</v>
          </cell>
          <cell r="AF294" t="str">
            <v>N/A</v>
          </cell>
          <cell r="AG294" t="str">
            <v>SURGICAL ASSISTANCE</v>
          </cell>
          <cell r="AH294" t="str">
            <v>ENTREGADO</v>
          </cell>
          <cell r="AI294" t="str">
            <v>N/A</v>
          </cell>
          <cell r="AJ294" t="str">
            <v>A 2450</v>
          </cell>
          <cell r="AK294">
            <v>46086</v>
          </cell>
        </row>
        <row r="295">
          <cell r="A295" t="str">
            <v>119/2026</v>
          </cell>
          <cell r="B295">
            <v>119</v>
          </cell>
          <cell r="C295" t="str">
            <v>REEMBOLSO</v>
          </cell>
          <cell r="D295">
            <v>46092</v>
          </cell>
          <cell r="E295" t="str">
            <v>NEUROCIRUGIA</v>
          </cell>
          <cell r="F295" t="str">
            <v>N/A</v>
          </cell>
          <cell r="G295">
            <v>3992100001</v>
          </cell>
          <cell r="H295" t="str">
            <v>MATERIAL DE APOYO PARA CIRUGIA DE COLUMNA</v>
          </cell>
          <cell r="I295">
            <v>1</v>
          </cell>
          <cell r="J295" t="str">
            <v>SERVICIO</v>
          </cell>
          <cell r="L295" t="str">
            <v>CHAVEZ LOPEZ NANCY</v>
          </cell>
          <cell r="M295">
            <v>2022268</v>
          </cell>
          <cell r="N295" t="str">
            <v>CHAVEZ HERRERA ENRIQUE</v>
          </cell>
          <cell r="O295">
            <v>22045861</v>
          </cell>
          <cell r="P295" t="str">
            <v>JESUS</v>
          </cell>
          <cell r="Q295">
            <v>46092</v>
          </cell>
          <cell r="R295" t="str">
            <v>COTIZACION</v>
          </cell>
          <cell r="V295" t="str">
            <v>-</v>
          </cell>
          <cell r="W295" t="str">
            <v>-</v>
          </cell>
          <cell r="X295" t="str">
            <v>-</v>
          </cell>
          <cell r="Y295" t="str">
            <v>-</v>
          </cell>
          <cell r="AE295" t="str">
            <v>N/A</v>
          </cell>
          <cell r="AF295" t="str">
            <v>N/A</v>
          </cell>
          <cell r="AG295" t="str">
            <v>SURGICAL ASSISTANCE</v>
          </cell>
          <cell r="AH295" t="str">
            <v>ENTREGADO</v>
          </cell>
          <cell r="AI295" t="str">
            <v>N/A</v>
          </cell>
          <cell r="AJ295" t="str">
            <v>A 2450</v>
          </cell>
          <cell r="AK295">
            <v>46086</v>
          </cell>
        </row>
        <row r="296">
          <cell r="A296" t="str">
            <v>119/2026</v>
          </cell>
          <cell r="B296">
            <v>119</v>
          </cell>
          <cell r="C296" t="str">
            <v>REEMBOLSO</v>
          </cell>
          <cell r="D296">
            <v>46092</v>
          </cell>
          <cell r="E296" t="str">
            <v>NEUROCIRUGIA</v>
          </cell>
          <cell r="F296" t="str">
            <v>N/A</v>
          </cell>
          <cell r="G296">
            <v>3992100001</v>
          </cell>
          <cell r="H296" t="str">
            <v>RETRACTOR TUBULAR</v>
          </cell>
          <cell r="I296">
            <v>1</v>
          </cell>
          <cell r="J296" t="str">
            <v>SERVICIO</v>
          </cell>
          <cell r="L296" t="str">
            <v>CHAVEZ LOPEZ NANCY</v>
          </cell>
          <cell r="M296">
            <v>2022268</v>
          </cell>
          <cell r="N296" t="str">
            <v>CHAVEZ HERRERA ENRIQUE</v>
          </cell>
          <cell r="O296">
            <v>22045861</v>
          </cell>
          <cell r="P296" t="str">
            <v>JESUS</v>
          </cell>
          <cell r="Q296">
            <v>46092</v>
          </cell>
          <cell r="R296" t="str">
            <v>COTIZACION</v>
          </cell>
          <cell r="V296" t="str">
            <v>-</v>
          </cell>
          <cell r="W296" t="str">
            <v>-</v>
          </cell>
          <cell r="X296" t="str">
            <v>-</v>
          </cell>
          <cell r="Y296" t="str">
            <v>-</v>
          </cell>
          <cell r="AE296" t="str">
            <v>N/A</v>
          </cell>
          <cell r="AF296" t="str">
            <v>N/A</v>
          </cell>
          <cell r="AG296" t="str">
            <v>SURGICAL ASSISTANCE</v>
          </cell>
          <cell r="AH296" t="str">
            <v>ENTREGADO</v>
          </cell>
          <cell r="AI296" t="str">
            <v>N/A</v>
          </cell>
          <cell r="AJ296" t="str">
            <v>A 2450</v>
          </cell>
          <cell r="AK296">
            <v>46086</v>
          </cell>
        </row>
        <row r="297">
          <cell r="A297" t="str">
            <v>120/2026</v>
          </cell>
          <cell r="B297">
            <v>120</v>
          </cell>
          <cell r="C297" t="str">
            <v>REEMBOLSO</v>
          </cell>
          <cell r="D297">
            <v>46093</v>
          </cell>
          <cell r="E297" t="str">
            <v>CIRUGIA GENERAL</v>
          </cell>
          <cell r="F297" t="str">
            <v>N/A</v>
          </cell>
          <cell r="G297">
            <v>3992100001</v>
          </cell>
          <cell r="H297" t="str">
            <v>TORRE DE LAPAROSCOPIA + CHAROLA COMPLETA LAPAROSCOPIA</v>
          </cell>
          <cell r="I297">
            <v>1</v>
          </cell>
          <cell r="J297" t="str">
            <v>SERVICIO</v>
          </cell>
          <cell r="L297" t="str">
            <v>PADILLA MENDOZA LUZ JANETH</v>
          </cell>
          <cell r="M297">
            <v>2022464</v>
          </cell>
          <cell r="N297" t="str">
            <v>PADILLA MENDOZA LUZ JANETH</v>
          </cell>
          <cell r="O297">
            <v>7031835</v>
          </cell>
          <cell r="P297" t="str">
            <v>JESUS</v>
          </cell>
          <cell r="Q297">
            <v>46093</v>
          </cell>
          <cell r="R297" t="str">
            <v>COTIZACION</v>
          </cell>
          <cell r="T297" t="str">
            <v>692/2026</v>
          </cell>
          <cell r="U297">
            <v>46101</v>
          </cell>
          <cell r="V297">
            <v>3500</v>
          </cell>
          <cell r="W297">
            <v>3500</v>
          </cell>
          <cell r="X297">
            <v>560</v>
          </cell>
          <cell r="Y297">
            <v>4060</v>
          </cell>
          <cell r="AD297">
            <v>1</v>
          </cell>
          <cell r="AE297" t="str">
            <v>N/A</v>
          </cell>
          <cell r="AF297" t="str">
            <v>N/A</v>
          </cell>
          <cell r="AG297" t="str">
            <v>JESUS CARLOS VILLAFAÑA ARREOLA</v>
          </cell>
          <cell r="AH297" t="str">
            <v>ENTREGADO</v>
          </cell>
          <cell r="AI297" t="str">
            <v>N/A</v>
          </cell>
          <cell r="AJ297" t="str">
            <v>B-9383</v>
          </cell>
          <cell r="AK297">
            <v>46086</v>
          </cell>
        </row>
        <row r="298">
          <cell r="A298" t="str">
            <v>121/2026</v>
          </cell>
          <cell r="B298">
            <v>121</v>
          </cell>
          <cell r="C298" t="str">
            <v>SUBROGACION</v>
          </cell>
          <cell r="D298">
            <v>46093</v>
          </cell>
          <cell r="E298" t="str">
            <v>NEUROCIRUGIA</v>
          </cell>
          <cell r="F298" t="str">
            <v>N/A</v>
          </cell>
          <cell r="G298">
            <v>3992100001</v>
          </cell>
          <cell r="H298" t="str">
            <v>RENTA DE RETRACTOR TUBULAR</v>
          </cell>
          <cell r="I298">
            <v>1</v>
          </cell>
          <cell r="J298" t="str">
            <v>SERVICIO</v>
          </cell>
          <cell r="L298" t="str">
            <v xml:space="preserve">AVALOS PADILLA LUCERO </v>
          </cell>
          <cell r="M298">
            <v>2018199</v>
          </cell>
          <cell r="N298" t="str">
            <v>AVALOS PADILLA LUCERO</v>
          </cell>
          <cell r="O298">
            <v>18080721</v>
          </cell>
          <cell r="P298" t="str">
            <v>JESUS</v>
          </cell>
          <cell r="Q298" t="str">
            <v>12//03/2026</v>
          </cell>
          <cell r="R298" t="str">
            <v>COTIZACION</v>
          </cell>
        </row>
        <row r="299">
          <cell r="A299" t="str">
            <v>121/2026</v>
          </cell>
          <cell r="B299">
            <v>121</v>
          </cell>
          <cell r="C299" t="str">
            <v>SUBROGACION</v>
          </cell>
          <cell r="D299">
            <v>46093</v>
          </cell>
          <cell r="E299" t="str">
            <v>NEUROCIRUGIA</v>
          </cell>
          <cell r="F299" t="str">
            <v>N/A</v>
          </cell>
          <cell r="G299">
            <v>3992100001</v>
          </cell>
          <cell r="H299" t="str">
            <v>RENTA DE INSTRUMENTAL QUIRURGICO DE APOYO</v>
          </cell>
          <cell r="I299">
            <v>1</v>
          </cell>
          <cell r="J299" t="str">
            <v>SERVICIO</v>
          </cell>
          <cell r="L299" t="str">
            <v xml:space="preserve">AVALOS PADILLA LUCERO </v>
          </cell>
          <cell r="M299">
            <v>2018199</v>
          </cell>
          <cell r="N299" t="str">
            <v>AVALOS PADILLA LUCERO</v>
          </cell>
          <cell r="O299">
            <v>18080721</v>
          </cell>
          <cell r="P299" t="str">
            <v>JESUS</v>
          </cell>
          <cell r="Q299">
            <v>46093</v>
          </cell>
          <cell r="R299" t="str">
            <v>COTIZACION</v>
          </cell>
        </row>
        <row r="300">
          <cell r="A300" t="str">
            <v>122/2026</v>
          </cell>
          <cell r="B300">
            <v>122</v>
          </cell>
          <cell r="C300" t="str">
            <v>SUBROGACION</v>
          </cell>
          <cell r="D300">
            <v>46093</v>
          </cell>
          <cell r="E300" t="str">
            <v>ORTOPEDIA Y TRAUMA</v>
          </cell>
          <cell r="F300" t="str">
            <v>N/A</v>
          </cell>
          <cell r="G300">
            <v>3992100001</v>
          </cell>
          <cell r="H300" t="str">
            <v xml:space="preserve"> RENTA DE ARTROSO SCOPIO DE MUÑECA</v>
          </cell>
          <cell r="I300">
            <v>1</v>
          </cell>
          <cell r="J300" t="str">
            <v>SERVICIO</v>
          </cell>
          <cell r="L300" t="str">
            <v>MERCADO LANDEROS LUIS ARMANDO</v>
          </cell>
          <cell r="M300">
            <v>940587</v>
          </cell>
          <cell r="N300" t="str">
            <v>MERCADO LANDEROS LUIS ARMANDO</v>
          </cell>
          <cell r="O300">
            <v>6055272</v>
          </cell>
          <cell r="P300" t="str">
            <v>JESUS</v>
          </cell>
          <cell r="Q300">
            <v>46093</v>
          </cell>
          <cell r="R300" t="str">
            <v>CANCELADO</v>
          </cell>
          <cell r="S300" t="str">
            <v>PACIENTE NOTIFICA QUE SE CANCELA SU CX POR MOTIVO DE MEJORIA, SE LE DEVUELVE EXPEDIENTE</v>
          </cell>
        </row>
        <row r="301">
          <cell r="A301" t="str">
            <v>122/2026</v>
          </cell>
          <cell r="B301">
            <v>122</v>
          </cell>
          <cell r="C301" t="str">
            <v>SUBROGACION</v>
          </cell>
          <cell r="D301">
            <v>46093</v>
          </cell>
          <cell r="E301" t="str">
            <v>ORTOPEDIA Y TRAUMA</v>
          </cell>
          <cell r="F301" t="str">
            <v>N/A</v>
          </cell>
          <cell r="G301">
            <v>3992100001</v>
          </cell>
          <cell r="H301" t="str">
            <v>RENTA DE LENTE LE 2.7MM</v>
          </cell>
          <cell r="I301">
            <v>1</v>
          </cell>
          <cell r="J301" t="str">
            <v>SERVICIO</v>
          </cell>
          <cell r="L301" t="str">
            <v>MERCADO LANDEROS LUIS ARMANDO</v>
          </cell>
          <cell r="M301">
            <v>940587</v>
          </cell>
          <cell r="N301" t="str">
            <v>MERCADO LANDEROS LUIS ARMANDO</v>
          </cell>
          <cell r="O301">
            <v>6055272</v>
          </cell>
          <cell r="P301" t="str">
            <v>JESUS</v>
          </cell>
          <cell r="Q301">
            <v>46093</v>
          </cell>
          <cell r="R301" t="str">
            <v>CANCELADO</v>
          </cell>
          <cell r="S301" t="str">
            <v>PACIENTE NOTIFICA QUE SE CANCELA SU CX POR MOTIVO DE MEJORIA, SE LE DEVUELVE EXPEDIENTE</v>
          </cell>
        </row>
        <row r="302">
          <cell r="A302" t="str">
            <v>122/2026</v>
          </cell>
          <cell r="B302">
            <v>122</v>
          </cell>
          <cell r="C302" t="str">
            <v>SUBROGACION</v>
          </cell>
          <cell r="D302">
            <v>46093</v>
          </cell>
          <cell r="E302" t="str">
            <v>ORTOPEDIA Y TRAUMA</v>
          </cell>
          <cell r="F302" t="str">
            <v>N/A</v>
          </cell>
          <cell r="G302">
            <v>3992100001</v>
          </cell>
          <cell r="H302" t="str">
            <v>RENTA DE KIDE</v>
          </cell>
          <cell r="I302">
            <v>1</v>
          </cell>
          <cell r="J302" t="str">
            <v>SERVICIO</v>
          </cell>
          <cell r="L302" t="str">
            <v>MERCADO LANDEROS LUIS ARMANDO</v>
          </cell>
          <cell r="M302">
            <v>940587</v>
          </cell>
          <cell r="N302" t="str">
            <v>MERCADO LANDEROS LUIS ARMANDO</v>
          </cell>
          <cell r="O302">
            <v>6055272</v>
          </cell>
          <cell r="P302" t="str">
            <v>JESUS</v>
          </cell>
          <cell r="Q302">
            <v>46093</v>
          </cell>
          <cell r="R302" t="str">
            <v>CANCELADO</v>
          </cell>
          <cell r="S302" t="str">
            <v>PACIENTE NOTIFICA QUE SE CANCELA SU CX POR MOTIVO DE MEJORIA, SE LE DEVUELVE EXPEDIENTE</v>
          </cell>
        </row>
        <row r="303">
          <cell r="A303" t="str">
            <v>122/2026</v>
          </cell>
          <cell r="B303">
            <v>122</v>
          </cell>
          <cell r="C303" t="str">
            <v>SUBROGACION</v>
          </cell>
          <cell r="D303">
            <v>46093</v>
          </cell>
          <cell r="E303" t="str">
            <v>ORTOPEDIA Y TRAUMA</v>
          </cell>
          <cell r="F303" t="str">
            <v>N/A</v>
          </cell>
          <cell r="G303">
            <v>3992100001</v>
          </cell>
          <cell r="H303" t="str">
            <v>RENTA DE SPYDER Y CONTRASPYDER</v>
          </cell>
          <cell r="I303">
            <v>1</v>
          </cell>
          <cell r="J303" t="str">
            <v>SERVICIO</v>
          </cell>
          <cell r="L303" t="str">
            <v>MERCADO LANDEROS LUIS ARMANDO</v>
          </cell>
          <cell r="M303">
            <v>940587</v>
          </cell>
          <cell r="N303" t="str">
            <v>MERCADO LANDEROS LUIS ARMANDO</v>
          </cell>
          <cell r="O303">
            <v>6055272</v>
          </cell>
          <cell r="P303" t="str">
            <v>JESUS</v>
          </cell>
          <cell r="Q303">
            <v>46093</v>
          </cell>
          <cell r="R303" t="str">
            <v>CANCELADO</v>
          </cell>
          <cell r="S303" t="str">
            <v>PACIENTE NOTIFICA QUE SE CANCELA SU CX POR MOTIVO DE MEJORIA, SE LE DEVUELVE EXPEDIENTE</v>
          </cell>
        </row>
        <row r="304">
          <cell r="A304" t="str">
            <v>123/2026</v>
          </cell>
          <cell r="B304">
            <v>123</v>
          </cell>
          <cell r="C304" t="str">
            <v>SUBROGACION</v>
          </cell>
          <cell r="D304">
            <v>46093</v>
          </cell>
          <cell r="E304" t="str">
            <v>GINECOLOGIA</v>
          </cell>
          <cell r="F304" t="str">
            <v>N/A</v>
          </cell>
          <cell r="G304">
            <v>3992100001</v>
          </cell>
          <cell r="H304" t="str">
            <v>IMPLANTE MYRENA</v>
          </cell>
          <cell r="I304">
            <v>1</v>
          </cell>
          <cell r="J304" t="str">
            <v>PIEZA</v>
          </cell>
          <cell r="L304" t="str">
            <v>RENDON SANCHEZ ANA TERESA</v>
          </cell>
          <cell r="M304">
            <v>2011311</v>
          </cell>
          <cell r="N304" t="str">
            <v>RENDON SANCHEZ ANA TERESA</v>
          </cell>
          <cell r="O304">
            <v>12113475</v>
          </cell>
          <cell r="P304" t="str">
            <v>JESUS</v>
          </cell>
          <cell r="Q304">
            <v>46093</v>
          </cell>
          <cell r="R304" t="str">
            <v>COTIZACION</v>
          </cell>
        </row>
        <row r="305">
          <cell r="A305" t="str">
            <v>124/2026</v>
          </cell>
          <cell r="B305">
            <v>124</v>
          </cell>
          <cell r="C305" t="str">
            <v>COMPRA POR FONDO</v>
          </cell>
          <cell r="D305">
            <v>46087</v>
          </cell>
          <cell r="E305" t="str">
            <v>ALMACEN DE ÁREAS QUIRURGICAS</v>
          </cell>
          <cell r="F305" t="str">
            <v>AAQX19/12/03/2026</v>
          </cell>
          <cell r="G305">
            <v>2541022002</v>
          </cell>
          <cell r="H305" t="str">
            <v>CAL SODADA CON INDICADOR</v>
          </cell>
          <cell r="I305">
            <v>960</v>
          </cell>
          <cell r="J305" t="str">
            <v>PIEZA</v>
          </cell>
          <cell r="K305">
            <v>2541</v>
          </cell>
          <cell r="L305" t="str">
            <v>N/A</v>
          </cell>
          <cell r="M305" t="str">
            <v>N/A</v>
          </cell>
          <cell r="N305" t="str">
            <v>N/A</v>
          </cell>
          <cell r="O305" t="str">
            <v>N/A</v>
          </cell>
          <cell r="P305" t="str">
            <v>BRENDA</v>
          </cell>
          <cell r="Q305">
            <v>46093</v>
          </cell>
          <cell r="R305" t="str">
            <v>AUT CAA</v>
          </cell>
          <cell r="T305" t="str">
            <v>720/2026</v>
          </cell>
          <cell r="U305">
            <v>46105</v>
          </cell>
          <cell r="V305">
            <v>1452.94</v>
          </cell>
          <cell r="W305">
            <v>63929.94</v>
          </cell>
          <cell r="X305">
            <v>10228.7904</v>
          </cell>
          <cell r="Y305">
            <v>74158.7304</v>
          </cell>
          <cell r="Z305">
            <v>16</v>
          </cell>
          <cell r="AA305">
            <v>46106</v>
          </cell>
          <cell r="AD305">
            <v>44</v>
          </cell>
          <cell r="AE305">
            <v>144</v>
          </cell>
          <cell r="AF305">
            <v>46105</v>
          </cell>
          <cell r="AG305" t="str">
            <v>PROMEDICA GARCIA SA DE CV</v>
          </cell>
        </row>
        <row r="306">
          <cell r="A306" t="str">
            <v>125/2026</v>
          </cell>
          <cell r="B306">
            <v>125</v>
          </cell>
          <cell r="C306" t="str">
            <v>COMPRA POR FONDO</v>
          </cell>
          <cell r="D306">
            <v>46087</v>
          </cell>
          <cell r="E306" t="str">
            <v>ALMACEN DE ÁREAS QUIRURGICAS</v>
          </cell>
          <cell r="F306" t="str">
            <v>AAQX17/12/03/2026</v>
          </cell>
          <cell r="G306">
            <v>2541213002</v>
          </cell>
          <cell r="H306" t="str">
            <v>060.066.0039 ANTISÉPTICOS. ALCOHOL DESNATURALIZADO. ENVASE CON 1 LT.</v>
          </cell>
          <cell r="I306">
            <v>4000</v>
          </cell>
          <cell r="J306" t="str">
            <v>PIEZA</v>
          </cell>
          <cell r="K306">
            <v>2541</v>
          </cell>
          <cell r="L306" t="str">
            <v>N/A</v>
          </cell>
          <cell r="M306" t="str">
            <v>N/A</v>
          </cell>
          <cell r="N306" t="str">
            <v>N/A</v>
          </cell>
          <cell r="O306" t="str">
            <v>N/A</v>
          </cell>
          <cell r="P306" t="str">
            <v>BRENDA</v>
          </cell>
          <cell r="Q306">
            <v>46094</v>
          </cell>
          <cell r="R306" t="str">
            <v>AUT CAA</v>
          </cell>
          <cell r="T306" t="str">
            <v>681/2026</v>
          </cell>
          <cell r="U306">
            <v>46099</v>
          </cell>
          <cell r="V306">
            <v>35.909999999999997</v>
          </cell>
          <cell r="W306">
            <v>64638</v>
          </cell>
          <cell r="X306">
            <v>10342.08</v>
          </cell>
          <cell r="Y306">
            <v>74980.08</v>
          </cell>
          <cell r="Z306">
            <v>16</v>
          </cell>
          <cell r="AA306">
            <v>46106</v>
          </cell>
          <cell r="AD306">
            <v>1800</v>
          </cell>
          <cell r="AE306">
            <v>131</v>
          </cell>
          <cell r="AF306">
            <v>46099</v>
          </cell>
          <cell r="AG306" t="str">
            <v>ALFEJ MEDICAL ITEMS SA DE CV</v>
          </cell>
        </row>
        <row r="307">
          <cell r="A307" t="str">
            <v>126/2026</v>
          </cell>
          <cell r="B307">
            <v>126</v>
          </cell>
          <cell r="C307" t="str">
            <v>COMPRA POR FONDO</v>
          </cell>
          <cell r="D307">
            <v>46094</v>
          </cell>
          <cell r="E307" t="str">
            <v>DIVISION DE SERVICIOS GENERALES</v>
          </cell>
          <cell r="F307" t="str">
            <v>FDSG/128/2026</v>
          </cell>
          <cell r="G307">
            <v>3571205001</v>
          </cell>
          <cell r="H307" t="str">
            <v>MANTENIMIENTO CORRECTIVO INTEGRAL A CALDERA MARCA CLEAVER BROOKS MX4897</v>
          </cell>
          <cell r="I307">
            <v>1</v>
          </cell>
          <cell r="J307" t="str">
            <v>SERVICIO</v>
          </cell>
          <cell r="K307">
            <v>3571</v>
          </cell>
          <cell r="L307" t="str">
            <v>N/A</v>
          </cell>
          <cell r="M307" t="str">
            <v>N/A</v>
          </cell>
          <cell r="N307" t="str">
            <v>N/A</v>
          </cell>
          <cell r="O307" t="str">
            <v>N/A</v>
          </cell>
          <cell r="P307" t="str">
            <v>BRENDA</v>
          </cell>
          <cell r="Q307">
            <v>46099</v>
          </cell>
          <cell r="R307" t="str">
            <v>COTIZACION</v>
          </cell>
        </row>
        <row r="308">
          <cell r="A308" t="str">
            <v>127/2026</v>
          </cell>
          <cell r="B308">
            <v>127</v>
          </cell>
          <cell r="C308" t="str">
            <v>REEMBOLSO</v>
          </cell>
          <cell r="D308">
            <v>46094</v>
          </cell>
          <cell r="E308" t="str">
            <v>ARTOSCOPIA</v>
          </cell>
          <cell r="F308" t="str">
            <v>N/A</v>
          </cell>
          <cell r="G308">
            <v>3992100001</v>
          </cell>
          <cell r="H308" t="str">
            <v>TORRE DE ARTROSCOPIO</v>
          </cell>
          <cell r="I308">
            <v>1</v>
          </cell>
          <cell r="J308" t="str">
            <v>SERVICIO</v>
          </cell>
          <cell r="L308" t="str">
            <v>TORRES PEREZ FRANCISCA</v>
          </cell>
          <cell r="M308">
            <v>900130</v>
          </cell>
          <cell r="N308" t="str">
            <v>TORRES PEREZ FRANCISCA</v>
          </cell>
          <cell r="O308">
            <v>6055714</v>
          </cell>
          <cell r="P308" t="str">
            <v>JESUS</v>
          </cell>
          <cell r="Q308">
            <v>46094</v>
          </cell>
          <cell r="R308" t="str">
            <v>COTIZACION</v>
          </cell>
        </row>
        <row r="309">
          <cell r="A309" t="str">
            <v>127/2026</v>
          </cell>
          <cell r="B309">
            <v>127</v>
          </cell>
          <cell r="C309" t="str">
            <v>REEMBOLSO</v>
          </cell>
          <cell r="D309">
            <v>46094</v>
          </cell>
          <cell r="E309" t="str">
            <v>ARTOSCOPIA</v>
          </cell>
          <cell r="F309" t="str">
            <v>N/A</v>
          </cell>
          <cell r="G309">
            <v>3992100001</v>
          </cell>
          <cell r="H309" t="str">
            <v>CHAROLA DE MENISCO CON PINZA</v>
          </cell>
          <cell r="I309">
            <v>1</v>
          </cell>
          <cell r="J309" t="str">
            <v>SERVICIO</v>
          </cell>
          <cell r="L309" t="str">
            <v>TORRES PEREZ FRANCISCA</v>
          </cell>
          <cell r="M309">
            <v>900130</v>
          </cell>
          <cell r="N309" t="str">
            <v>TORRES PEREZ FRANCISCA</v>
          </cell>
          <cell r="O309">
            <v>6055714</v>
          </cell>
          <cell r="P309" t="str">
            <v>JESUS</v>
          </cell>
          <cell r="Q309">
            <v>46094</v>
          </cell>
          <cell r="R309" t="str">
            <v>COTIZACION</v>
          </cell>
          <cell r="V309">
            <v>4000</v>
          </cell>
          <cell r="W309">
            <v>4000</v>
          </cell>
          <cell r="X309">
            <v>640</v>
          </cell>
          <cell r="Y309">
            <v>4640</v>
          </cell>
          <cell r="AG309" t="str">
            <v>ARTHRONEWS</v>
          </cell>
          <cell r="AH309" t="str">
            <v>ENTREGADO</v>
          </cell>
          <cell r="AI309" t="str">
            <v>N/A</v>
          </cell>
          <cell r="AJ309" t="str">
            <v>A175</v>
          </cell>
          <cell r="AK309">
            <v>46086</v>
          </cell>
        </row>
        <row r="310">
          <cell r="A310" t="str">
            <v>128/2026</v>
          </cell>
          <cell r="B310">
            <v>128</v>
          </cell>
          <cell r="C310" t="str">
            <v>COMPRA POR FONDO</v>
          </cell>
          <cell r="D310">
            <v>46093</v>
          </cell>
          <cell r="E310" t="str">
            <v>NEFROLOGIA</v>
          </cell>
          <cell r="F310" t="str">
            <v>NEFRO/068/2026</v>
          </cell>
          <cell r="G310">
            <v>2541036005</v>
          </cell>
          <cell r="H310" t="str">
            <v>DIALIZADORES 0.7 METROS</v>
          </cell>
          <cell r="I310">
            <v>10</v>
          </cell>
          <cell r="J310" t="str">
            <v>PIEZA</v>
          </cell>
          <cell r="K310">
            <v>2541</v>
          </cell>
          <cell r="L310" t="str">
            <v>N/A</v>
          </cell>
          <cell r="M310" t="str">
            <v>N/A</v>
          </cell>
          <cell r="N310" t="str">
            <v>N/A</v>
          </cell>
          <cell r="O310" t="str">
            <v>N/A</v>
          </cell>
          <cell r="P310" t="str">
            <v>BRENDA</v>
          </cell>
          <cell r="Q310">
            <v>46099</v>
          </cell>
          <cell r="R310" t="str">
            <v>COTIZACION</v>
          </cell>
        </row>
        <row r="311">
          <cell r="A311" t="str">
            <v>129/2026</v>
          </cell>
          <cell r="B311">
            <v>129</v>
          </cell>
          <cell r="C311" t="str">
            <v>SUBROGACION</v>
          </cell>
          <cell r="D311">
            <v>46098</v>
          </cell>
          <cell r="E311" t="str">
            <v>ONCOLOGIA</v>
          </cell>
          <cell r="F311" t="str">
            <v>N/A</v>
          </cell>
          <cell r="G311">
            <v>3992100001</v>
          </cell>
          <cell r="H311" t="str">
            <v xml:space="preserve">GAMMAGRAMA OSEO </v>
          </cell>
          <cell r="I311">
            <v>1</v>
          </cell>
          <cell r="J311" t="str">
            <v>SERVICIO</v>
          </cell>
          <cell r="L311" t="str">
            <v xml:space="preserve">NAVARRO MEDINA PRISCILA </v>
          </cell>
          <cell r="M311">
            <v>2010011</v>
          </cell>
          <cell r="N311" t="str">
            <v>NAVARRO FLORES FELICIANO</v>
          </cell>
          <cell r="O311">
            <v>20046991</v>
          </cell>
          <cell r="P311" t="str">
            <v>JESUS</v>
          </cell>
          <cell r="Q311">
            <v>46098</v>
          </cell>
          <cell r="R311" t="str">
            <v>COTIZACION</v>
          </cell>
          <cell r="V311">
            <v>0</v>
          </cell>
          <cell r="W311">
            <v>0</v>
          </cell>
          <cell r="X311">
            <v>0</v>
          </cell>
          <cell r="Y311">
            <v>0</v>
          </cell>
          <cell r="AG311" t="str">
            <v>ARTHRONEWS</v>
          </cell>
          <cell r="AH311" t="str">
            <v>ENTREGADO</v>
          </cell>
          <cell r="AI311" t="str">
            <v>N/A</v>
          </cell>
          <cell r="AJ311" t="str">
            <v>A175</v>
          </cell>
          <cell r="AK311">
            <v>46086</v>
          </cell>
        </row>
        <row r="312">
          <cell r="A312" t="str">
            <v>130/2026</v>
          </cell>
          <cell r="B312">
            <v>130</v>
          </cell>
          <cell r="C312" t="str">
            <v>REEMBOLSO</v>
          </cell>
          <cell r="D312">
            <v>46098</v>
          </cell>
          <cell r="E312" t="str">
            <v>PROCTOLOGIA</v>
          </cell>
          <cell r="F312" t="str">
            <v>N/A</v>
          </cell>
          <cell r="G312">
            <v>3992100001</v>
          </cell>
          <cell r="H312" t="str">
            <v xml:space="preserve">RM DE COLUMNA COMPLETA CONTRASTADA </v>
          </cell>
          <cell r="I312">
            <v>1</v>
          </cell>
          <cell r="J312" t="str">
            <v>SERVICIO</v>
          </cell>
          <cell r="L312" t="str">
            <v>RAMIREZ AGUILAR SERGIO</v>
          </cell>
          <cell r="M312">
            <v>2010351</v>
          </cell>
          <cell r="N312" t="str">
            <v>RAMIREZ AGUILAR SERGIO</v>
          </cell>
          <cell r="O312">
            <v>6051116</v>
          </cell>
          <cell r="P312" t="str">
            <v>JESUS</v>
          </cell>
          <cell r="Q312">
            <v>46098</v>
          </cell>
          <cell r="R312" t="str">
            <v>COTIZACION</v>
          </cell>
          <cell r="V312">
            <v>21286.21</v>
          </cell>
          <cell r="W312">
            <v>21286.21</v>
          </cell>
          <cell r="X312">
            <v>3405.7936</v>
          </cell>
          <cell r="Y312">
            <v>24692.0036</v>
          </cell>
          <cell r="AD312">
            <v>1</v>
          </cell>
          <cell r="AE312" t="str">
            <v>N/A</v>
          </cell>
          <cell r="AF312" t="str">
            <v>N/A</v>
          </cell>
          <cell r="AG312" t="str">
            <v>ADRIANA ESTELA SERUR VILLANUEVA</v>
          </cell>
          <cell r="AH312" t="str">
            <v>ENTREGADO</v>
          </cell>
          <cell r="AI312" t="str">
            <v>N/A</v>
          </cell>
          <cell r="AJ312" t="str">
            <v>C8064</v>
          </cell>
          <cell r="AK312">
            <v>46081</v>
          </cell>
        </row>
        <row r="313">
          <cell r="A313" t="str">
            <v>130/2026</v>
          </cell>
          <cell r="B313">
            <v>130</v>
          </cell>
          <cell r="C313" t="str">
            <v>REEMBOLSO</v>
          </cell>
          <cell r="D313">
            <v>46098</v>
          </cell>
          <cell r="E313" t="str">
            <v>PROCTOLOGIA</v>
          </cell>
          <cell r="F313" t="str">
            <v>N/A</v>
          </cell>
          <cell r="G313">
            <v>3992100001</v>
          </cell>
          <cell r="H313" t="str">
            <v>RM DE PELVIS CONTRASTADA</v>
          </cell>
          <cell r="I313">
            <v>1</v>
          </cell>
          <cell r="J313" t="str">
            <v>SERVICIO</v>
          </cell>
          <cell r="L313" t="str">
            <v>RAMIREZ AGUILAR SERGIO</v>
          </cell>
          <cell r="M313">
            <v>2010351</v>
          </cell>
          <cell r="N313" t="str">
            <v>RAMIREZ AGUILAR SERGIO</v>
          </cell>
          <cell r="O313">
            <v>6051116</v>
          </cell>
          <cell r="P313" t="str">
            <v>JESUS</v>
          </cell>
          <cell r="Q313">
            <v>46098</v>
          </cell>
          <cell r="R313" t="str">
            <v>COTIZACION</v>
          </cell>
          <cell r="V313">
            <v>0</v>
          </cell>
          <cell r="W313">
            <v>0</v>
          </cell>
          <cell r="X313">
            <v>0</v>
          </cell>
          <cell r="Y313">
            <v>0</v>
          </cell>
          <cell r="AE313" t="str">
            <v>N/A</v>
          </cell>
          <cell r="AF313" t="str">
            <v>N/A</v>
          </cell>
          <cell r="AG313" t="str">
            <v>ADRIANA ESTELA SERUR VILLANUEVA</v>
          </cell>
          <cell r="AH313" t="str">
            <v>ENTREGADO</v>
          </cell>
          <cell r="AI313" t="str">
            <v>N/A</v>
          </cell>
          <cell r="AJ313" t="str">
            <v>C8064</v>
          </cell>
          <cell r="AK313">
            <v>46081</v>
          </cell>
        </row>
        <row r="314">
          <cell r="A314" t="str">
            <v>131/2026</v>
          </cell>
          <cell r="B314">
            <v>131</v>
          </cell>
          <cell r="C314" t="str">
            <v>REEMBOLSO</v>
          </cell>
          <cell r="D314">
            <v>46098</v>
          </cell>
          <cell r="E314" t="str">
            <v>ORTOPEDIA Y TRAUMA</v>
          </cell>
          <cell r="F314" t="str">
            <v>N/A</v>
          </cell>
          <cell r="G314">
            <v>3992100001</v>
          </cell>
          <cell r="H314" t="str">
            <v>RENTA DE SET DE COLOCACION TALADRO KIRSCHNER</v>
          </cell>
          <cell r="I314">
            <v>1</v>
          </cell>
          <cell r="J314" t="str">
            <v>SERVICIO</v>
          </cell>
          <cell r="L314" t="str">
            <v>ANAYA JIMENEZ JONATHAN OMAR</v>
          </cell>
          <cell r="M314">
            <v>2017153</v>
          </cell>
          <cell r="N314" t="str">
            <v>ANAYA JIMENEZ JONATHAN OMAR</v>
          </cell>
          <cell r="O314">
            <v>6050213</v>
          </cell>
          <cell r="P314" t="str">
            <v>JESUS</v>
          </cell>
          <cell r="Q314">
            <v>46098</v>
          </cell>
          <cell r="R314" t="str">
            <v>COTIZACION</v>
          </cell>
          <cell r="V314">
            <v>49000</v>
          </cell>
          <cell r="W314">
            <v>49000</v>
          </cell>
          <cell r="X314">
            <v>7840</v>
          </cell>
          <cell r="Y314">
            <v>56840</v>
          </cell>
          <cell r="AD314">
            <v>1</v>
          </cell>
          <cell r="AE314" t="str">
            <v>N/A</v>
          </cell>
          <cell r="AF314" t="str">
            <v>N/A</v>
          </cell>
          <cell r="AG314" t="str">
            <v>JF MEDICAL DISTRIBUTOR</v>
          </cell>
          <cell r="AH314" t="str">
            <v>ENTREGADO</v>
          </cell>
          <cell r="AI314" t="str">
            <v>N/A</v>
          </cell>
          <cell r="AJ314" t="str">
            <v>E 16425</v>
          </cell>
          <cell r="AK314">
            <v>46091</v>
          </cell>
        </row>
        <row r="315">
          <cell r="A315" t="str">
            <v>131/2026</v>
          </cell>
          <cell r="B315">
            <v>131</v>
          </cell>
          <cell r="C315" t="str">
            <v>REEMBOLSO</v>
          </cell>
          <cell r="D315">
            <v>46098</v>
          </cell>
          <cell r="E315" t="str">
            <v>ORTOPEDIA Y TRAUMA</v>
          </cell>
          <cell r="F315" t="str">
            <v>N/A</v>
          </cell>
          <cell r="G315">
            <v>3992100001</v>
          </cell>
          <cell r="H315" t="str">
            <v>RENTA DE CHAROLA DE ANTEBRAZO</v>
          </cell>
          <cell r="I315">
            <v>1</v>
          </cell>
          <cell r="J315" t="str">
            <v>SERVICIO</v>
          </cell>
          <cell r="L315" t="str">
            <v>ANAYA JIMENEZ JONATHAN OMAR</v>
          </cell>
          <cell r="M315">
            <v>2017153</v>
          </cell>
          <cell r="N315" t="str">
            <v>ANAYA JIMENEZ JONATHAN OMAR</v>
          </cell>
          <cell r="O315">
            <v>6050213</v>
          </cell>
          <cell r="P315" t="str">
            <v>JESUS</v>
          </cell>
          <cell r="Q315">
            <v>46098</v>
          </cell>
          <cell r="R315" t="str">
            <v>COTIZACION</v>
          </cell>
          <cell r="V315">
            <v>0</v>
          </cell>
          <cell r="W315">
            <v>0</v>
          </cell>
          <cell r="X315">
            <v>0</v>
          </cell>
          <cell r="Y315">
            <v>0</v>
          </cell>
          <cell r="AD315">
            <v>1</v>
          </cell>
          <cell r="AE315" t="str">
            <v>N/A</v>
          </cell>
          <cell r="AF315" t="str">
            <v>N/A</v>
          </cell>
          <cell r="AG315" t="str">
            <v>JF MEDICAL DISTRIBUTOR</v>
          </cell>
          <cell r="AH315" t="str">
            <v>ENTREGADO</v>
          </cell>
          <cell r="AI315" t="str">
            <v>N/A</v>
          </cell>
          <cell r="AJ315" t="str">
            <v>E 16425</v>
          </cell>
          <cell r="AK315">
            <v>46091</v>
          </cell>
        </row>
        <row r="316">
          <cell r="A316" t="str">
            <v>132/2026</v>
          </cell>
          <cell r="B316">
            <v>132</v>
          </cell>
          <cell r="C316" t="str">
            <v>COMPRA POR FONDO</v>
          </cell>
          <cell r="D316">
            <v>46094</v>
          </cell>
          <cell r="E316" t="str">
            <v xml:space="preserve">DIETOLOGIA Y NUTRICION </v>
          </cell>
          <cell r="F316" t="str">
            <v>096/D/2026</v>
          </cell>
          <cell r="G316">
            <v>2212005042</v>
          </cell>
          <cell r="H316" t="str">
            <v>LECHE FRESCA PASTEURIZADA LIGHT</v>
          </cell>
          <cell r="I316">
            <v>6000</v>
          </cell>
          <cell r="J316" t="str">
            <v>LITRO</v>
          </cell>
          <cell r="K316">
            <v>2212</v>
          </cell>
          <cell r="L316" t="str">
            <v>N/A</v>
          </cell>
          <cell r="M316" t="str">
            <v>N/A</v>
          </cell>
          <cell r="N316" t="str">
            <v>N/A</v>
          </cell>
          <cell r="O316" t="str">
            <v>N/A</v>
          </cell>
          <cell r="P316" t="str">
            <v>JESUS</v>
          </cell>
          <cell r="Q316">
            <v>46094</v>
          </cell>
          <cell r="R316" t="str">
            <v>COTIZACION</v>
          </cell>
        </row>
        <row r="317">
          <cell r="A317" t="str">
            <v>133/2026</v>
          </cell>
          <cell r="B317">
            <v>133</v>
          </cell>
          <cell r="C317" t="str">
            <v>REEMBOLSO</v>
          </cell>
          <cell r="D317">
            <v>46098</v>
          </cell>
          <cell r="E317" t="str">
            <v>ORTOPEDIA Y TRAUMA</v>
          </cell>
          <cell r="F317" t="str">
            <v>N/A</v>
          </cell>
          <cell r="G317">
            <v>3992100001</v>
          </cell>
          <cell r="H317" t="str">
            <v>CLAVO CENTRO MEDULAR ANTEROGRADO DE TIBIA CON PERNOS DE BLOQUEO Y TAPON DE CIERRE</v>
          </cell>
          <cell r="I317">
            <v>1</v>
          </cell>
          <cell r="J317" t="str">
            <v>PIEZA</v>
          </cell>
          <cell r="L317" t="str">
            <v>VILLEDA CASTAÑEDA MOISES</v>
          </cell>
          <cell r="M317">
            <v>2002047</v>
          </cell>
          <cell r="N317" t="str">
            <v>CASTAÑEDA NUÑO FELICIAS</v>
          </cell>
          <cell r="O317">
            <v>10072923</v>
          </cell>
          <cell r="P317" t="str">
            <v>JESUS</v>
          </cell>
          <cell r="Q317">
            <v>46098</v>
          </cell>
          <cell r="R317" t="str">
            <v>COTIZACION</v>
          </cell>
          <cell r="V317">
            <v>19300</v>
          </cell>
          <cell r="W317">
            <v>19300</v>
          </cell>
          <cell r="X317">
            <v>3088</v>
          </cell>
          <cell r="Y317">
            <v>22388</v>
          </cell>
          <cell r="AD317">
            <v>1</v>
          </cell>
          <cell r="AE317" t="str">
            <v>N/A</v>
          </cell>
          <cell r="AF317" t="str">
            <v>N/A</v>
          </cell>
          <cell r="AG317" t="str">
            <v>ABRAHAM BONIFACIO SANCHEZ ESPARZA</v>
          </cell>
          <cell r="AH317" t="str">
            <v>ENTREGADO</v>
          </cell>
          <cell r="AI317" t="str">
            <v>N/A</v>
          </cell>
          <cell r="AJ317" t="str">
            <v>SAT-763</v>
          </cell>
          <cell r="AK317">
            <v>46092</v>
          </cell>
        </row>
        <row r="318">
          <cell r="A318" t="str">
            <v>133/2026</v>
          </cell>
          <cell r="B318">
            <v>133</v>
          </cell>
          <cell r="C318" t="str">
            <v>REEMBOLSO</v>
          </cell>
          <cell r="D318">
            <v>46098</v>
          </cell>
          <cell r="E318" t="str">
            <v>ORTOPEDIA Y TRAUMA</v>
          </cell>
          <cell r="F318" t="str">
            <v>N/A</v>
          </cell>
          <cell r="G318">
            <v>3992100001</v>
          </cell>
          <cell r="H318" t="str">
            <v>TORNILLO ACEFALICO DOBLE COMPRESION</v>
          </cell>
          <cell r="I318">
            <v>1</v>
          </cell>
          <cell r="J318" t="str">
            <v>PIEZA</v>
          </cell>
          <cell r="L318" t="str">
            <v>VILLEDA CASTAÑEDA MOISES</v>
          </cell>
          <cell r="M318">
            <v>2002047</v>
          </cell>
          <cell r="N318" t="str">
            <v>CASTAÑEDA NUÑO FELICIAS</v>
          </cell>
          <cell r="O318">
            <v>10072923</v>
          </cell>
          <cell r="P318" t="str">
            <v>JESUS</v>
          </cell>
          <cell r="Q318">
            <v>46098</v>
          </cell>
          <cell r="R318" t="str">
            <v>COTIZACION</v>
          </cell>
          <cell r="V318">
            <v>0</v>
          </cell>
          <cell r="W318">
            <v>0</v>
          </cell>
          <cell r="X318">
            <v>0</v>
          </cell>
          <cell r="Y318">
            <v>0</v>
          </cell>
          <cell r="AD318">
            <v>1</v>
          </cell>
          <cell r="AE318" t="str">
            <v>N/A</v>
          </cell>
          <cell r="AF318" t="str">
            <v>N/A</v>
          </cell>
          <cell r="AG318" t="str">
            <v>ABRAHAM BONIFACIO SANCHEZ ESPARZA</v>
          </cell>
          <cell r="AH318" t="str">
            <v>ENTREGADO</v>
          </cell>
          <cell r="AI318" t="str">
            <v>N/A</v>
          </cell>
          <cell r="AJ318" t="str">
            <v>SAT-763</v>
          </cell>
          <cell r="AK318">
            <v>46092</v>
          </cell>
        </row>
        <row r="319">
          <cell r="A319" t="str">
            <v>134/2026</v>
          </cell>
          <cell r="B319">
            <v>134</v>
          </cell>
          <cell r="C319" t="str">
            <v>REEMBOLSO</v>
          </cell>
          <cell r="D319">
            <v>46099</v>
          </cell>
          <cell r="E319" t="str">
            <v>MEDICINA INTERNA</v>
          </cell>
          <cell r="F319" t="str">
            <v>N/A</v>
          </cell>
          <cell r="G319">
            <v>3992100001</v>
          </cell>
          <cell r="H319" t="str">
            <v>ANTICUERPOS ANTI-NUCLEARES(ANA)HEP-2</v>
          </cell>
          <cell r="I319">
            <v>1</v>
          </cell>
          <cell r="J319" t="str">
            <v>SERVICIO</v>
          </cell>
          <cell r="L319" t="str">
            <v>SANCHEZ RIZO ALMA GABRIELA</v>
          </cell>
          <cell r="M319">
            <v>2005435</v>
          </cell>
          <cell r="N319" t="str">
            <v>SANCHEZ RIZO ALMA GABRIELA</v>
          </cell>
          <cell r="O319">
            <v>7038709</v>
          </cell>
          <cell r="P319" t="str">
            <v>JESUS</v>
          </cell>
          <cell r="Q319">
            <v>46099</v>
          </cell>
          <cell r="R319" t="str">
            <v>COTIZACION</v>
          </cell>
          <cell r="V319">
            <v>4212.93</v>
          </cell>
          <cell r="W319">
            <v>4212.93</v>
          </cell>
          <cell r="X319">
            <v>674.06880000000001</v>
          </cell>
          <cell r="Y319">
            <v>4886.9988000000003</v>
          </cell>
          <cell r="AD319">
            <v>1</v>
          </cell>
          <cell r="AE319" t="str">
            <v>N/A</v>
          </cell>
          <cell r="AF319" t="str">
            <v>N/A</v>
          </cell>
          <cell r="AG319" t="str">
            <v>UNIDAD DE PATOLOGIA CLINICA E IMAGENLOGIA S.C</v>
          </cell>
          <cell r="AH319" t="str">
            <v>ENTREGADO</v>
          </cell>
          <cell r="AI319" t="str">
            <v>N/A</v>
          </cell>
          <cell r="AK319">
            <v>46093</v>
          </cell>
        </row>
        <row r="320">
          <cell r="A320" t="str">
            <v>134/2026</v>
          </cell>
          <cell r="B320">
            <v>134</v>
          </cell>
          <cell r="C320" t="str">
            <v>REEMBOLSO</v>
          </cell>
          <cell r="D320">
            <v>46099</v>
          </cell>
          <cell r="E320" t="str">
            <v>MEDICINA INTERNA</v>
          </cell>
          <cell r="F320" t="str">
            <v>N/A</v>
          </cell>
          <cell r="G320">
            <v>3992100001</v>
          </cell>
          <cell r="H320" t="str">
            <v>ANTICUERPOS ANTI-SSBLA IGG SINDROME DE SJÖGREN</v>
          </cell>
          <cell r="I320">
            <v>1</v>
          </cell>
          <cell r="J320" t="str">
            <v>SERVICIO</v>
          </cell>
          <cell r="L320" t="str">
            <v>SANCHEZ RIZO ALMA GABRIELA</v>
          </cell>
          <cell r="M320">
            <v>2005435</v>
          </cell>
          <cell r="N320" t="str">
            <v>SANCHEZ RIZO ALMA GABRIELA</v>
          </cell>
          <cell r="O320">
            <v>7038709</v>
          </cell>
          <cell r="P320" t="str">
            <v>JESUS</v>
          </cell>
          <cell r="Q320">
            <v>46099</v>
          </cell>
          <cell r="R320" t="str">
            <v>COTIZACION</v>
          </cell>
          <cell r="V320">
            <v>0</v>
          </cell>
          <cell r="W320">
            <v>0</v>
          </cell>
          <cell r="X320">
            <v>0</v>
          </cell>
          <cell r="Y320">
            <v>0</v>
          </cell>
          <cell r="AD320">
            <v>1</v>
          </cell>
          <cell r="AE320" t="str">
            <v>N/A</v>
          </cell>
          <cell r="AF320" t="str">
            <v>N/A</v>
          </cell>
          <cell r="AG320" t="str">
            <v>UNIDAD DE PATOLOGIA CLINICA E IMAGENLOGIA S.C</v>
          </cell>
          <cell r="AH320" t="str">
            <v>ENTREGADO</v>
          </cell>
          <cell r="AI320" t="str">
            <v>N/A</v>
          </cell>
          <cell r="AK320">
            <v>46093</v>
          </cell>
        </row>
        <row r="321">
          <cell r="A321" t="str">
            <v>134/2026</v>
          </cell>
          <cell r="B321">
            <v>134</v>
          </cell>
          <cell r="C321" t="str">
            <v>REEMBOLSO</v>
          </cell>
          <cell r="D321">
            <v>46099</v>
          </cell>
          <cell r="E321" t="str">
            <v>MEDICINA INTERNA</v>
          </cell>
          <cell r="F321" t="str">
            <v>N/A</v>
          </cell>
          <cell r="G321">
            <v>3992100001</v>
          </cell>
          <cell r="H321" t="str">
            <v>VITAMINA B12 "CIANOCOBALMINA"</v>
          </cell>
          <cell r="I321">
            <v>1</v>
          </cell>
          <cell r="J321" t="str">
            <v>SERVICIO</v>
          </cell>
          <cell r="L321" t="str">
            <v>SANCHEZ RIZO ALMA GABRIELA</v>
          </cell>
          <cell r="M321">
            <v>2005435</v>
          </cell>
          <cell r="N321" t="str">
            <v>SANCHEZ RIZO ALMA GABRIELA</v>
          </cell>
          <cell r="O321">
            <v>7038709</v>
          </cell>
          <cell r="P321" t="str">
            <v>JESUS</v>
          </cell>
          <cell r="Q321">
            <v>46099</v>
          </cell>
          <cell r="R321" t="str">
            <v>COTIZACION</v>
          </cell>
          <cell r="V321">
            <v>0</v>
          </cell>
          <cell r="W321">
            <v>0</v>
          </cell>
          <cell r="X321">
            <v>0</v>
          </cell>
          <cell r="Y321">
            <v>0</v>
          </cell>
          <cell r="AD321">
            <v>1</v>
          </cell>
          <cell r="AE321" t="str">
            <v>N/A</v>
          </cell>
          <cell r="AF321" t="str">
            <v>N/A</v>
          </cell>
          <cell r="AG321" t="str">
            <v>UNIDAD DE PATOLOGIA CLINICA E IMAGENLOGIA S.C</v>
          </cell>
          <cell r="AH321" t="str">
            <v>ENTREGADO</v>
          </cell>
          <cell r="AI321" t="str">
            <v>N/A</v>
          </cell>
          <cell r="AK321">
            <v>46093</v>
          </cell>
        </row>
        <row r="322">
          <cell r="A322" t="str">
            <v>134/2026</v>
          </cell>
          <cell r="B322">
            <v>134</v>
          </cell>
          <cell r="C322" t="str">
            <v>REEMBOLSO</v>
          </cell>
          <cell r="D322">
            <v>46099</v>
          </cell>
          <cell r="E322" t="str">
            <v>MEDICINA INTERNA</v>
          </cell>
          <cell r="F322" t="str">
            <v>N/A</v>
          </cell>
          <cell r="G322">
            <v>3992100001</v>
          </cell>
          <cell r="H322" t="str">
            <v>ANTICUERPOS ANTI-GLIANDINA DEAMINADA IGA E IGG</v>
          </cell>
          <cell r="I322">
            <v>1</v>
          </cell>
          <cell r="J322" t="str">
            <v>SERVICIO</v>
          </cell>
          <cell r="L322" t="str">
            <v>SANCHEZ RIZO ALMA GABRIELA</v>
          </cell>
          <cell r="M322">
            <v>2005435</v>
          </cell>
          <cell r="N322" t="str">
            <v>SANCHEZ RIZO ALMA GABRIELA</v>
          </cell>
          <cell r="O322">
            <v>7038709</v>
          </cell>
          <cell r="P322" t="str">
            <v>JESUS</v>
          </cell>
          <cell r="Q322">
            <v>46099</v>
          </cell>
          <cell r="R322" t="str">
            <v>COTIZACION</v>
          </cell>
          <cell r="V322">
            <v>0</v>
          </cell>
          <cell r="W322">
            <v>0</v>
          </cell>
          <cell r="X322">
            <v>0</v>
          </cell>
          <cell r="Y322">
            <v>0</v>
          </cell>
          <cell r="AD322">
            <v>1</v>
          </cell>
          <cell r="AE322" t="str">
            <v>N/A</v>
          </cell>
          <cell r="AF322" t="str">
            <v>N/A</v>
          </cell>
          <cell r="AG322" t="str">
            <v>UNIDAD DE PATOLOGIA CLINICA E IMAGENLOGIA S.C</v>
          </cell>
          <cell r="AH322" t="str">
            <v>ENTREGADO</v>
          </cell>
          <cell r="AI322" t="str">
            <v>N/A</v>
          </cell>
          <cell r="AK322">
            <v>46093</v>
          </cell>
        </row>
        <row r="323">
          <cell r="A323" t="str">
            <v>134/2026</v>
          </cell>
          <cell r="B323">
            <v>134</v>
          </cell>
          <cell r="C323" t="str">
            <v>REEMBOLSO</v>
          </cell>
          <cell r="D323">
            <v>46099</v>
          </cell>
          <cell r="E323" t="str">
            <v>MEDICINA INTERNA</v>
          </cell>
          <cell r="F323" t="str">
            <v>N/A</v>
          </cell>
          <cell r="G323">
            <v>3992100001</v>
          </cell>
          <cell r="H323" t="str">
            <v>ANTICUERPOS ANTI-SSA RO-60 IGG SINDROME DE SJÖGREN</v>
          </cell>
          <cell r="I323">
            <v>1</v>
          </cell>
          <cell r="J323" t="str">
            <v>SERVICIO</v>
          </cell>
          <cell r="L323" t="str">
            <v>SANCHEZ RIZO ALMA GABRIELA</v>
          </cell>
          <cell r="M323">
            <v>2005435</v>
          </cell>
          <cell r="N323" t="str">
            <v>SANCHEZ RIZO ALMA GABRIELA</v>
          </cell>
          <cell r="O323">
            <v>7038709</v>
          </cell>
          <cell r="P323" t="str">
            <v>JESUS</v>
          </cell>
          <cell r="Q323">
            <v>46099</v>
          </cell>
          <cell r="R323" t="str">
            <v>COTIZACION</v>
          </cell>
          <cell r="V323">
            <v>0</v>
          </cell>
          <cell r="W323">
            <v>0</v>
          </cell>
          <cell r="X323">
            <v>0</v>
          </cell>
          <cell r="Y323">
            <v>0</v>
          </cell>
          <cell r="AD323">
            <v>1</v>
          </cell>
          <cell r="AE323" t="str">
            <v>N/A</v>
          </cell>
          <cell r="AF323" t="str">
            <v>N/A</v>
          </cell>
          <cell r="AG323" t="str">
            <v>UNIDAD DE PATOLOGIA CLINICA E IMAGENLOGIA S.C</v>
          </cell>
          <cell r="AH323" t="str">
            <v>ENTREGADO</v>
          </cell>
          <cell r="AI323" t="str">
            <v>N/A</v>
          </cell>
          <cell r="AK323">
            <v>46093</v>
          </cell>
        </row>
        <row r="324">
          <cell r="A324" t="str">
            <v>134/2026</v>
          </cell>
          <cell r="B324">
            <v>134</v>
          </cell>
          <cell r="C324" t="str">
            <v>REEMBOLSO</v>
          </cell>
          <cell r="D324">
            <v>46099</v>
          </cell>
          <cell r="E324" t="str">
            <v>MEDICINA INTERNA</v>
          </cell>
          <cell r="F324" t="str">
            <v>N/A</v>
          </cell>
          <cell r="G324">
            <v>3992100001</v>
          </cell>
          <cell r="H324" t="str">
            <v>ANTICUERPOS ANTI-FACTOR INTRINSECO</v>
          </cell>
          <cell r="I324">
            <v>1</v>
          </cell>
          <cell r="J324" t="str">
            <v>SERVICIO</v>
          </cell>
          <cell r="L324" t="str">
            <v>SANCHEZ RIZO ALMA GABRIELA</v>
          </cell>
          <cell r="M324">
            <v>2005435</v>
          </cell>
          <cell r="N324" t="str">
            <v>SANCHEZ RIZO ALMA GABRIELA</v>
          </cell>
          <cell r="O324">
            <v>7038709</v>
          </cell>
          <cell r="P324" t="str">
            <v>JESUS</v>
          </cell>
          <cell r="Q324">
            <v>46099</v>
          </cell>
          <cell r="R324" t="str">
            <v>COTIZACION</v>
          </cell>
          <cell r="V324">
            <v>0</v>
          </cell>
          <cell r="X324">
            <v>0</v>
          </cell>
          <cell r="Y324">
            <v>0</v>
          </cell>
          <cell r="AD324">
            <v>1</v>
          </cell>
          <cell r="AE324" t="str">
            <v>N/A</v>
          </cell>
          <cell r="AF324" t="str">
            <v>N/A</v>
          </cell>
          <cell r="AG324" t="str">
            <v>UNIDAD DE PATOLOGIA CLINICA E IMAGENLOGIA S.C</v>
          </cell>
          <cell r="AH324" t="str">
            <v>ENTREGADO</v>
          </cell>
          <cell r="AI324" t="str">
            <v>N/A</v>
          </cell>
          <cell r="AK324">
            <v>46093</v>
          </cell>
        </row>
        <row r="325">
          <cell r="A325" t="str">
            <v>134/2026</v>
          </cell>
          <cell r="B325">
            <v>134</v>
          </cell>
          <cell r="C325" t="str">
            <v>REEMBOLSO</v>
          </cell>
          <cell r="D325">
            <v>46099</v>
          </cell>
          <cell r="E325" t="str">
            <v>MEDICINA INTERNA</v>
          </cell>
          <cell r="F325" t="str">
            <v>N/A</v>
          </cell>
          <cell r="G325">
            <v>3992100001</v>
          </cell>
          <cell r="H325" t="str">
            <v>ANTICUERPOS ANTI-ENDOMISIO(EMA) IGA</v>
          </cell>
          <cell r="I325">
            <v>1</v>
          </cell>
          <cell r="J325" t="str">
            <v>SERVICIO</v>
          </cell>
          <cell r="L325" t="str">
            <v>SANCHEZ RIZO ALMA GABRIELA</v>
          </cell>
          <cell r="M325">
            <v>2005435</v>
          </cell>
          <cell r="N325" t="str">
            <v>SANCHEZ RIZO ALMA GABRIELA</v>
          </cell>
          <cell r="O325">
            <v>7038709</v>
          </cell>
          <cell r="P325" t="str">
            <v>JESUS</v>
          </cell>
          <cell r="Q325">
            <v>46099</v>
          </cell>
          <cell r="R325" t="str">
            <v>COTIZACION</v>
          </cell>
          <cell r="V325">
            <v>0</v>
          </cell>
          <cell r="W325">
            <v>0</v>
          </cell>
          <cell r="X325">
            <v>0</v>
          </cell>
          <cell r="Y325">
            <v>0</v>
          </cell>
          <cell r="AD325">
            <v>1</v>
          </cell>
          <cell r="AE325" t="str">
            <v>N/A</v>
          </cell>
          <cell r="AF325" t="str">
            <v>N/A</v>
          </cell>
          <cell r="AG325" t="str">
            <v>UNIDAD DE PATOLOGIA CLINICA E IMAGENLOGIA S.C</v>
          </cell>
          <cell r="AH325" t="str">
            <v>ENTREGADO</v>
          </cell>
          <cell r="AI325" t="str">
            <v>N/A</v>
          </cell>
          <cell r="AK325">
            <v>46093</v>
          </cell>
        </row>
        <row r="326">
          <cell r="A326" t="str">
            <v>135/2026</v>
          </cell>
          <cell r="B326">
            <v>135</v>
          </cell>
          <cell r="C326" t="str">
            <v>SUBROGACION</v>
          </cell>
          <cell r="D326">
            <v>46099</v>
          </cell>
          <cell r="E326" t="str">
            <v>CARDIOLOGIA</v>
          </cell>
          <cell r="F326" t="str">
            <v>NA</v>
          </cell>
          <cell r="G326">
            <v>3992100001</v>
          </cell>
          <cell r="H326" t="str">
            <v>ACIDO MICOFENOLICO 360 MG GRAGEA</v>
          </cell>
          <cell r="I326">
            <v>3</v>
          </cell>
          <cell r="J326" t="str">
            <v>CAJA</v>
          </cell>
          <cell r="L326" t="str">
            <v xml:space="preserve">RODRIGUEZ ORTIZ RAUL DANIEL </v>
          </cell>
          <cell r="M326">
            <v>2018824</v>
          </cell>
          <cell r="N326" t="str">
            <v xml:space="preserve">RODRIGUEZ ORTIZ RAUL DANIEL </v>
          </cell>
          <cell r="O326" t="str">
            <v>N/A</v>
          </cell>
          <cell r="P326" t="str">
            <v>JESUS</v>
          </cell>
          <cell r="Q326">
            <v>46099</v>
          </cell>
          <cell r="R326" t="str">
            <v>COTIZACION</v>
          </cell>
        </row>
        <row r="327">
          <cell r="A327" t="str">
            <v>136/2026</v>
          </cell>
          <cell r="B327">
            <v>136</v>
          </cell>
          <cell r="C327" t="str">
            <v>SUBROGACION</v>
          </cell>
          <cell r="D327">
            <v>46099</v>
          </cell>
          <cell r="E327" t="str">
            <v>ARTROSCOPIA Y MEDICINA INTERNA</v>
          </cell>
          <cell r="F327" t="str">
            <v>N/A</v>
          </cell>
          <cell r="G327">
            <v>3992100001</v>
          </cell>
          <cell r="H327" t="str">
            <v>ANCLA SUTURFIX 1.9 XL</v>
          </cell>
          <cell r="I327">
            <v>1</v>
          </cell>
          <cell r="J327" t="str">
            <v>PIEZA</v>
          </cell>
          <cell r="L327" t="str">
            <v>HERNANDEZ MARTINEZ LUIS RODOLFO</v>
          </cell>
          <cell r="M327">
            <v>2025208</v>
          </cell>
          <cell r="N327" t="str">
            <v>HERNANDEZ MARTINEZ LUIS RODOLFO</v>
          </cell>
          <cell r="O327">
            <v>11176584</v>
          </cell>
          <cell r="P327" t="str">
            <v>JESUS</v>
          </cell>
          <cell r="Q327">
            <v>46099</v>
          </cell>
          <cell r="R327" t="str">
            <v>COTIZACION</v>
          </cell>
        </row>
        <row r="328">
          <cell r="A328" t="str">
            <v>136/2026</v>
          </cell>
          <cell r="B328">
            <v>136</v>
          </cell>
          <cell r="C328" t="str">
            <v>SUBROGACION</v>
          </cell>
          <cell r="D328">
            <v>46099</v>
          </cell>
          <cell r="E328" t="str">
            <v>ARTROSCOPIA Y MEDICINA INTERNA</v>
          </cell>
          <cell r="F328" t="str">
            <v>N/A</v>
          </cell>
          <cell r="G328">
            <v>3992100001</v>
          </cell>
          <cell r="H328" t="str">
            <v>ANCLA MICROPRAPTOR KNOTLESS</v>
          </cell>
          <cell r="I328">
            <v>2</v>
          </cell>
          <cell r="J328" t="str">
            <v>PIEZA</v>
          </cell>
          <cell r="L328" t="str">
            <v>HERNANDEZ MARTINEZ LUIS RODOLFO</v>
          </cell>
          <cell r="M328">
            <v>2025208</v>
          </cell>
          <cell r="N328" t="str">
            <v>HERNANDEZ MARTINEZ LUIS RODOLFO</v>
          </cell>
          <cell r="O328">
            <v>11176584</v>
          </cell>
          <cell r="P328" t="str">
            <v>JESUS</v>
          </cell>
          <cell r="Q328">
            <v>46099</v>
          </cell>
          <cell r="R328" t="str">
            <v>COTIZACION</v>
          </cell>
        </row>
        <row r="329">
          <cell r="A329" t="str">
            <v>136/2026</v>
          </cell>
          <cell r="B329">
            <v>136</v>
          </cell>
          <cell r="C329" t="str">
            <v>SUBROGACION</v>
          </cell>
          <cell r="D329">
            <v>46099</v>
          </cell>
          <cell r="E329" t="str">
            <v>ARTROSCOPIA Y MEDICINA INTERNA</v>
          </cell>
          <cell r="F329" t="str">
            <v>N/A</v>
          </cell>
          <cell r="G329">
            <v>3992100001</v>
          </cell>
          <cell r="H329" t="str">
            <v>SUTURA LIBRE #2</v>
          </cell>
          <cell r="I329">
            <v>2</v>
          </cell>
          <cell r="J329" t="str">
            <v>PIEZA</v>
          </cell>
          <cell r="L329" t="str">
            <v>HERNANDEZ MARTINEZ LUIS RODOLFO</v>
          </cell>
          <cell r="M329">
            <v>2025208</v>
          </cell>
          <cell r="N329" t="str">
            <v>HERNANDEZ MARTINEZ LUIS RODOLFO</v>
          </cell>
          <cell r="O329">
            <v>11176584</v>
          </cell>
          <cell r="P329" t="str">
            <v>JESUS</v>
          </cell>
          <cell r="Q329">
            <v>46099</v>
          </cell>
          <cell r="R329" t="str">
            <v>COTIZACION</v>
          </cell>
        </row>
        <row r="330">
          <cell r="A330" t="str">
            <v>136/2026</v>
          </cell>
          <cell r="B330">
            <v>136</v>
          </cell>
          <cell r="C330" t="str">
            <v>SUBROGACION</v>
          </cell>
          <cell r="D330">
            <v>46099</v>
          </cell>
          <cell r="E330" t="str">
            <v>ARTROSCOPIA Y MEDICINA INTERNA</v>
          </cell>
          <cell r="F330" t="str">
            <v>N/A</v>
          </cell>
          <cell r="G330">
            <v>3992100001</v>
          </cell>
          <cell r="H330" t="str">
            <v>RENTA DE ARTROSCOPIO CON LENTE 2.7 MM DE MUÑECA</v>
          </cell>
          <cell r="I330">
            <v>1</v>
          </cell>
          <cell r="J330" t="str">
            <v>SERVICIO</v>
          </cell>
          <cell r="L330" t="str">
            <v>HERNANDEZ MARTINEZ LUIS RODOLFO</v>
          </cell>
          <cell r="M330">
            <v>2025208</v>
          </cell>
          <cell r="N330" t="str">
            <v>HERNANDEZ MARTINEZ LUIS RODOLFO</v>
          </cell>
          <cell r="O330">
            <v>11176584</v>
          </cell>
          <cell r="P330" t="str">
            <v>JESUS</v>
          </cell>
          <cell r="Q330">
            <v>46099</v>
          </cell>
          <cell r="R330" t="str">
            <v>COTIZACION</v>
          </cell>
        </row>
        <row r="331">
          <cell r="A331" t="str">
            <v>136/2026</v>
          </cell>
          <cell r="B331">
            <v>136</v>
          </cell>
          <cell r="C331" t="str">
            <v>SUBROGACION</v>
          </cell>
          <cell r="D331">
            <v>46099</v>
          </cell>
          <cell r="E331" t="str">
            <v>ARTROSCOPIA Y MEDICINA INTERNA</v>
          </cell>
          <cell r="F331" t="str">
            <v>N/A</v>
          </cell>
          <cell r="G331">
            <v>3992100001</v>
          </cell>
          <cell r="H331" t="str">
            <v>RENTA DE MESA DE TRACCION</v>
          </cell>
          <cell r="I331">
            <v>1</v>
          </cell>
          <cell r="J331" t="str">
            <v>SERVICIO</v>
          </cell>
          <cell r="L331" t="str">
            <v>HERNANDEZ MARTINEZ LUIS RODOLFO</v>
          </cell>
          <cell r="M331">
            <v>2025208</v>
          </cell>
          <cell r="N331" t="str">
            <v>HERNANDEZ MARTINEZ LUIS RODOLFO</v>
          </cell>
          <cell r="O331">
            <v>11176584</v>
          </cell>
          <cell r="P331" t="str">
            <v>JESUS</v>
          </cell>
          <cell r="Q331">
            <v>46099</v>
          </cell>
          <cell r="R331" t="str">
            <v>COTIZACION</v>
          </cell>
        </row>
        <row r="332">
          <cell r="A332" t="str">
            <v>136/2026</v>
          </cell>
          <cell r="B332">
            <v>136</v>
          </cell>
          <cell r="C332" t="str">
            <v>SUBROGACION</v>
          </cell>
          <cell r="D332">
            <v>46099</v>
          </cell>
          <cell r="E332" t="str">
            <v>ARTROSCOPIA Y MEDICINA INTERNA</v>
          </cell>
          <cell r="F332" t="str">
            <v>N/A</v>
          </cell>
          <cell r="G332">
            <v>3992100001</v>
          </cell>
          <cell r="H332" t="str">
            <v>RENTA DE CHAROLA DE ESPECIALIDAD DE CADERA CON LENTE 70 GRADOS CRYOTWRAPIA DE CADERA</v>
          </cell>
          <cell r="I332">
            <v>1</v>
          </cell>
          <cell r="J332" t="str">
            <v>SERVICIO</v>
          </cell>
          <cell r="L332" t="str">
            <v>HERNANDEZ MARTINEZ LUIS RODOLFO</v>
          </cell>
          <cell r="M332">
            <v>2025208</v>
          </cell>
          <cell r="N332" t="str">
            <v>HERNANDEZ MARTINEZ LUIS RODOLFO</v>
          </cell>
          <cell r="O332">
            <v>11176584</v>
          </cell>
          <cell r="P332" t="str">
            <v>JESUS</v>
          </cell>
          <cell r="Q332">
            <v>46099</v>
          </cell>
          <cell r="R332" t="str">
            <v>COTIZACION</v>
          </cell>
        </row>
        <row r="333">
          <cell r="A333" t="str">
            <v>136/2026</v>
          </cell>
          <cell r="B333">
            <v>136</v>
          </cell>
          <cell r="C333" t="str">
            <v>SUBROGACION</v>
          </cell>
          <cell r="D333">
            <v>46099</v>
          </cell>
          <cell r="E333" t="str">
            <v>ARTROSCOPIA Y MEDICINA INTERNA</v>
          </cell>
          <cell r="F333" t="str">
            <v>N/A</v>
          </cell>
          <cell r="G333">
            <v>3992100001</v>
          </cell>
          <cell r="H333" t="str">
            <v>RENTA DE MAQUINA DE MOVILIZACION PASIVA</v>
          </cell>
          <cell r="I333">
            <v>1</v>
          </cell>
          <cell r="J333" t="str">
            <v>SERVICIO</v>
          </cell>
          <cell r="L333" t="str">
            <v>HERNANDEZ MARTINEZ LUIS RODOLFO</v>
          </cell>
          <cell r="M333">
            <v>2025208</v>
          </cell>
          <cell r="N333" t="str">
            <v>HERNANDEZ MARTINEZ LUIS RODOLFO</v>
          </cell>
          <cell r="O333">
            <v>11176584</v>
          </cell>
          <cell r="P333" t="str">
            <v>JESUS</v>
          </cell>
          <cell r="Q333">
            <v>46099</v>
          </cell>
          <cell r="R333" t="str">
            <v>COTIZACION</v>
          </cell>
        </row>
        <row r="334">
          <cell r="A334" t="str">
            <v>137/2026</v>
          </cell>
          <cell r="B334">
            <v>137</v>
          </cell>
          <cell r="C334" t="str">
            <v>COMPRA POR FONDO</v>
          </cell>
          <cell r="D334">
            <v>46098</v>
          </cell>
          <cell r="E334" t="str">
            <v>TRANSPORTES</v>
          </cell>
          <cell r="F334" t="str">
            <v>AHCGSA/370/2026</v>
          </cell>
          <cell r="G334">
            <v>3921001001</v>
          </cell>
          <cell r="H334" t="str">
            <v>REFRENDO 2026 PAGO DE CONTRIBUCIONES DE AUTOMOTORES DEL PARQUE VEHICULAR ASIGNADO A LA UHFAA</v>
          </cell>
          <cell r="I334">
            <v>1</v>
          </cell>
          <cell r="J334" t="str">
            <v>SERVICIO</v>
          </cell>
          <cell r="L334" t="str">
            <v>N/A</v>
          </cell>
          <cell r="M334" t="str">
            <v>N/A</v>
          </cell>
          <cell r="N334" t="str">
            <v>N/A</v>
          </cell>
          <cell r="O334" t="str">
            <v>N/A</v>
          </cell>
          <cell r="P334" t="str">
            <v>JESUS</v>
          </cell>
          <cell r="Q334">
            <v>46098</v>
          </cell>
          <cell r="R334" t="str">
            <v>AUT CAA</v>
          </cell>
          <cell r="T334" t="str">
            <v>750/2026</v>
          </cell>
          <cell r="U334">
            <v>46106</v>
          </cell>
          <cell r="V334">
            <v>2200</v>
          </cell>
          <cell r="W334">
            <v>2200</v>
          </cell>
          <cell r="X334">
            <v>0</v>
          </cell>
          <cell r="Y334">
            <v>2200</v>
          </cell>
        </row>
        <row r="335">
          <cell r="A335" t="str">
            <v>138/2026</v>
          </cell>
          <cell r="B335">
            <v>138</v>
          </cell>
          <cell r="C335" t="str">
            <v>COMPRA POR FONDO</v>
          </cell>
          <cell r="D335">
            <v>46099</v>
          </cell>
          <cell r="E335" t="str">
            <v>SERVICIO DE ANESTESIOLOGIA</v>
          </cell>
          <cell r="F335" t="str">
            <v>FSA/31/2026</v>
          </cell>
          <cell r="G335">
            <v>2541084072</v>
          </cell>
          <cell r="H335" t="str">
            <v>SENSOR DE CUATRO ELECTRODOS PARA USAR EN MODULO SEDLINE, USO EN UN SOLO PACIENTE, FABRICADO SIN LÁTEX, DE CAUCHO NATURAL, PARA ADULTOS &gt;18 AÑOS.</v>
          </cell>
          <cell r="I335">
            <v>120</v>
          </cell>
          <cell r="J335" t="str">
            <v>PIEZA</v>
          </cell>
          <cell r="K335">
            <v>2541</v>
          </cell>
          <cell r="L335" t="str">
            <v>N/A</v>
          </cell>
          <cell r="M335" t="str">
            <v>N/A</v>
          </cell>
          <cell r="N335" t="str">
            <v>N/A</v>
          </cell>
          <cell r="O335" t="str">
            <v>N/A</v>
          </cell>
          <cell r="P335" t="str">
            <v>BRENDA</v>
          </cell>
          <cell r="Q335">
            <v>46100</v>
          </cell>
          <cell r="R335" t="str">
            <v>COTIZACION</v>
          </cell>
        </row>
        <row r="336">
          <cell r="A336" t="str">
            <v>139/2026</v>
          </cell>
          <cell r="B336">
            <v>139</v>
          </cell>
          <cell r="C336" t="str">
            <v>COMPRA POR FONDO</v>
          </cell>
          <cell r="D336">
            <v>46099</v>
          </cell>
          <cell r="E336" t="str">
            <v>ALMACEN DE ÁREAS QUIRURGICAS</v>
          </cell>
          <cell r="F336" t="str">
            <v>AAQX22/18/03/2026</v>
          </cell>
          <cell r="G336">
            <v>2541100008</v>
          </cell>
          <cell r="H336" t="str">
            <v>TUBO ENDOTRAQUEAL CON ALMA DE ACERO CON GLOBO CALIBRE 30 FR 7.5 MM ESTERIL PIEZA</v>
          </cell>
          <cell r="I336">
            <v>700</v>
          </cell>
          <cell r="J336" t="str">
            <v>PIEZA</v>
          </cell>
          <cell r="K336">
            <v>2541</v>
          </cell>
          <cell r="L336" t="str">
            <v>N/A</v>
          </cell>
          <cell r="M336" t="str">
            <v>N/A</v>
          </cell>
          <cell r="N336" t="str">
            <v>N/A</v>
          </cell>
          <cell r="O336" t="str">
            <v>N/A</v>
          </cell>
          <cell r="P336" t="str">
            <v>BRENDA</v>
          </cell>
          <cell r="Q336">
            <v>46100</v>
          </cell>
          <cell r="R336" t="str">
            <v>COTIZACION</v>
          </cell>
        </row>
        <row r="337">
          <cell r="A337" t="str">
            <v>140/2026</v>
          </cell>
          <cell r="B337">
            <v>140</v>
          </cell>
          <cell r="C337" t="str">
            <v>COMPRA POR FONDO</v>
          </cell>
          <cell r="D337">
            <v>46099</v>
          </cell>
          <cell r="E337" t="str">
            <v>ALMACEN DE ÁREAS QUIRURGICAS</v>
          </cell>
          <cell r="F337" t="str">
            <v>AAQX23/18/03/2026</v>
          </cell>
          <cell r="G337">
            <v>2541100009</v>
          </cell>
          <cell r="H337" t="str">
            <v>TUBO ENDOTRAQUEAL CON ALMA DE ACERO CON GLOBO CALIBRE 32 FR 8.0 MM ESTERIL PIEZA</v>
          </cell>
          <cell r="I337">
            <v>700</v>
          </cell>
          <cell r="J337" t="str">
            <v>PIEZA</v>
          </cell>
          <cell r="K337">
            <v>2541</v>
          </cell>
          <cell r="L337" t="str">
            <v>N/A</v>
          </cell>
          <cell r="M337" t="str">
            <v>N/A</v>
          </cell>
          <cell r="N337" t="str">
            <v>N/A</v>
          </cell>
          <cell r="O337" t="str">
            <v>N/A</v>
          </cell>
          <cell r="P337" t="str">
            <v>BRENDA</v>
          </cell>
          <cell r="Q337">
            <v>46100</v>
          </cell>
          <cell r="R337" t="str">
            <v>CANCELADO</v>
          </cell>
          <cell r="S337" t="str">
            <v xml:space="preserve">DE MOMENTO SE ENCUENTRA CON PIEZAS DISPONIBLES MEDIANTE AMPLIACION PARA EL JIM 25/03/2026 SE MANDA CORREO A JORGE PEGUERO SOLICITANDO REALICE LAS GESTIONES NECESARIAS </v>
          </cell>
        </row>
        <row r="338">
          <cell r="A338" t="str">
            <v>141/2026</v>
          </cell>
          <cell r="B338">
            <v>141</v>
          </cell>
          <cell r="C338" t="str">
            <v>COMPRA POR FONDO</v>
          </cell>
          <cell r="D338">
            <v>46099</v>
          </cell>
          <cell r="E338" t="str">
            <v>ALMACEN DE ÁREAS QUIRURGICAS</v>
          </cell>
          <cell r="F338" t="str">
            <v>AAQX20/18/03/2026</v>
          </cell>
          <cell r="G338">
            <v>2541100008</v>
          </cell>
          <cell r="H338" t="str">
            <v>SONDAS. GASTROINTESTINALES DESECHABLES Y CON MARCА RADIOPACA. TIPO: LEVIN. CALIBRE: 16 FR. PIEZA</v>
          </cell>
          <cell r="I338">
            <v>700</v>
          </cell>
          <cell r="J338" t="str">
            <v>PIEZA</v>
          </cell>
          <cell r="K338">
            <v>2541</v>
          </cell>
          <cell r="L338" t="str">
            <v>N/A</v>
          </cell>
          <cell r="M338" t="str">
            <v>N/A</v>
          </cell>
          <cell r="N338" t="str">
            <v>N/A</v>
          </cell>
          <cell r="O338" t="str">
            <v>N/A</v>
          </cell>
          <cell r="P338" t="str">
            <v>BRENDA</v>
          </cell>
          <cell r="Q338">
            <v>46100</v>
          </cell>
          <cell r="R338" t="str">
            <v>COTIZACION</v>
          </cell>
        </row>
        <row r="339">
          <cell r="A339" t="str">
            <v>142/2026</v>
          </cell>
          <cell r="B339">
            <v>142</v>
          </cell>
          <cell r="C339" t="str">
            <v>COMPRA POR FONDO</v>
          </cell>
          <cell r="D339">
            <v>46099</v>
          </cell>
          <cell r="E339" t="str">
            <v>SERVICIOS GENERALES</v>
          </cell>
          <cell r="F339" t="str">
            <v>FDSG/134/2026</v>
          </cell>
          <cell r="G339">
            <v>2461005072</v>
          </cell>
          <cell r="H339" t="str">
            <v>CONTACTOR TRIFASICO 220V BOBINA 110V AUXILIAR N/O Y N/C 100 D180 PLENA CARGA PARA COMPRESOR INGERSOLL RAND, MODELO AF190-30</v>
          </cell>
          <cell r="I339">
            <v>1</v>
          </cell>
          <cell r="J339" t="str">
            <v>PIEZA</v>
          </cell>
          <cell r="K339">
            <v>2461</v>
          </cell>
          <cell r="L339" t="str">
            <v>N/A</v>
          </cell>
          <cell r="M339" t="str">
            <v>N/A</v>
          </cell>
          <cell r="N339" t="str">
            <v>N/A</v>
          </cell>
          <cell r="O339" t="str">
            <v>N/A</v>
          </cell>
          <cell r="P339" t="str">
            <v>BRENDA</v>
          </cell>
          <cell r="Q339">
            <v>46100</v>
          </cell>
          <cell r="R339" t="str">
            <v>AUT CAA</v>
          </cell>
          <cell r="T339" t="str">
            <v>719/2026</v>
          </cell>
          <cell r="U339">
            <v>46105</v>
          </cell>
          <cell r="V339">
            <v>6450</v>
          </cell>
          <cell r="W339">
            <v>6450</v>
          </cell>
          <cell r="X339">
            <v>1032</v>
          </cell>
          <cell r="Y339">
            <v>7482</v>
          </cell>
          <cell r="Z339">
            <v>16</v>
          </cell>
          <cell r="AA339">
            <v>46106</v>
          </cell>
          <cell r="AD339">
            <v>1</v>
          </cell>
          <cell r="AE339">
            <v>143</v>
          </cell>
          <cell r="AF339">
            <v>46105</v>
          </cell>
          <cell r="AG339" t="str">
            <v>GRUPO COMJAL DE OCCIDENTE S DE RL DE CV</v>
          </cell>
        </row>
        <row r="340">
          <cell r="A340" t="str">
            <v>143/2026</v>
          </cell>
          <cell r="B340">
            <v>143</v>
          </cell>
          <cell r="C340" t="str">
            <v>SUBROGACION</v>
          </cell>
          <cell r="D340">
            <v>46100</v>
          </cell>
          <cell r="E340" t="str">
            <v>NEUROCIRUGIA</v>
          </cell>
          <cell r="F340" t="str">
            <v>N/A</v>
          </cell>
          <cell r="G340">
            <v>3992100001</v>
          </cell>
          <cell r="H340" t="str">
            <v>CEMENTO PARA VERTEROPLASTIA</v>
          </cell>
          <cell r="I340">
            <v>1</v>
          </cell>
          <cell r="J340" t="str">
            <v>PIEZA</v>
          </cell>
          <cell r="L340" t="str">
            <v>SANCHEZ ORDOÑES MIRIAM</v>
          </cell>
          <cell r="M340">
            <v>2011310</v>
          </cell>
          <cell r="N340" t="str">
            <v>ORDOÑES HERNANDEZ MARCELA</v>
          </cell>
          <cell r="O340">
            <v>13050591</v>
          </cell>
          <cell r="P340" t="str">
            <v>BRENDA</v>
          </cell>
          <cell r="Q340">
            <v>46101</v>
          </cell>
          <cell r="R340" t="str">
            <v>COTIZACION</v>
          </cell>
        </row>
        <row r="341">
          <cell r="A341" t="str">
            <v>143/2026</v>
          </cell>
          <cell r="B341">
            <v>143</v>
          </cell>
          <cell r="C341" t="str">
            <v>SUBROGACION</v>
          </cell>
          <cell r="D341">
            <v>46100</v>
          </cell>
          <cell r="E341" t="str">
            <v>NEUROCIRUGIA</v>
          </cell>
          <cell r="F341" t="str">
            <v>N/A</v>
          </cell>
          <cell r="G341">
            <v>3992100001</v>
          </cell>
          <cell r="H341" t="str">
            <v>AGUJAS YAMSHIDI</v>
          </cell>
          <cell r="I341">
            <v>2</v>
          </cell>
          <cell r="J341" t="str">
            <v>PIEZA</v>
          </cell>
          <cell r="L341" t="str">
            <v>SANCHEZ ORDOÑES MIRIAM</v>
          </cell>
          <cell r="M341">
            <v>2011310</v>
          </cell>
          <cell r="N341" t="str">
            <v>ORDOÑES HERNANDEZ MARCELA</v>
          </cell>
          <cell r="O341">
            <v>13050591</v>
          </cell>
          <cell r="P341" t="str">
            <v>BRENDA</v>
          </cell>
          <cell r="Q341">
            <v>46101</v>
          </cell>
          <cell r="R341" t="str">
            <v>COTIZACION</v>
          </cell>
        </row>
        <row r="342">
          <cell r="A342" t="str">
            <v>144/2026</v>
          </cell>
          <cell r="B342">
            <v>144</v>
          </cell>
        </row>
        <row r="343">
          <cell r="A343" t="str">
            <v>145/2026</v>
          </cell>
          <cell r="B343">
            <v>145</v>
          </cell>
          <cell r="C343" t="str">
            <v>COMPRA POR FONDO</v>
          </cell>
          <cell r="D343">
            <v>46105</v>
          </cell>
          <cell r="E343" t="str">
            <v>ALMACEN DE ÁREAS QUIRURGICAS</v>
          </cell>
          <cell r="F343" t="str">
            <v>AAQX24/24/03/2026</v>
          </cell>
          <cell r="G343">
            <v>2541219023</v>
          </cell>
          <cell r="H343" t="str">
            <v>060.125.2869 BOLSAS. BOLSA DE PAPEL GRADO MÉDICO. PARA ESTERILIZAR CON GAS O VAPOR. CON O SIN TRATAMIENTO ANTIBACTERIANO. CON REACTIVO QUÍMICO IMPRESO Y SISTEMA DE APERTURA. MEDIDAS: 11.0 X 18.0 X 4.0 CM.  ENVASE CON 1000 PIEZAS.</v>
          </cell>
          <cell r="I343">
            <v>276</v>
          </cell>
          <cell r="J343" t="str">
            <v>PIEZA</v>
          </cell>
          <cell r="K343">
            <v>2541</v>
          </cell>
          <cell r="L343" t="str">
            <v>N/A</v>
          </cell>
          <cell r="M343" t="str">
            <v>N/A</v>
          </cell>
          <cell r="N343" t="str">
            <v>N/A</v>
          </cell>
          <cell r="O343" t="str">
            <v>N/A</v>
          </cell>
          <cell r="P343" t="str">
            <v>BRENDA</v>
          </cell>
          <cell r="Q343">
            <v>46105</v>
          </cell>
          <cell r="R343" t="str">
            <v>CANCELADO</v>
          </cell>
          <cell r="S343" t="str">
            <v xml:space="preserve">DE MOMENTO SE ENCUENTRA CON PIEZAS DISPONIBLES POR CONTRATO 25/03/2026 SE MANDA CORREO A JORGE PEGUERO SOLICITANDO REALICE LAS GESTIONES NECESARIAS </v>
          </cell>
        </row>
        <row r="344">
          <cell r="A344" t="str">
            <v>146/2026</v>
          </cell>
          <cell r="B344">
            <v>146</v>
          </cell>
          <cell r="C344" t="str">
            <v>COMPRA POR FONDO</v>
          </cell>
          <cell r="D344">
            <v>46105</v>
          </cell>
          <cell r="E344" t="str">
            <v>DIVISION DE SERVICIOS GENERALES</v>
          </cell>
          <cell r="F344" t="str">
            <v>FDSG/147/2026</v>
          </cell>
          <cell r="G344">
            <v>2411005003</v>
          </cell>
          <cell r="H344" t="str">
            <v>MOSAICO HIDRÁULICO TIPO MODELO JASPE COLOR BLANCO</v>
          </cell>
          <cell r="I344">
            <v>92</v>
          </cell>
          <cell r="J344" t="str">
            <v>M2</v>
          </cell>
          <cell r="K344">
            <v>2411</v>
          </cell>
          <cell r="L344" t="str">
            <v>N/A</v>
          </cell>
          <cell r="M344" t="str">
            <v>N/A</v>
          </cell>
          <cell r="N344" t="str">
            <v>N/A</v>
          </cell>
          <cell r="O344" t="str">
            <v>N/A</v>
          </cell>
          <cell r="P344" t="str">
            <v>BRENDA</v>
          </cell>
          <cell r="Q344">
            <v>46105</v>
          </cell>
          <cell r="R344" t="str">
            <v>COTIZACION</v>
          </cell>
        </row>
        <row r="345">
          <cell r="A345" t="str">
            <v>146/2026</v>
          </cell>
          <cell r="B345">
            <v>146</v>
          </cell>
          <cell r="C345" t="str">
            <v>COMPRA POR FONDO</v>
          </cell>
          <cell r="D345">
            <v>46105</v>
          </cell>
          <cell r="E345" t="str">
            <v>DIVISION DE SERVICIOS GENERALES</v>
          </cell>
          <cell r="F345" t="str">
            <v>FDSG/147/2026</v>
          </cell>
          <cell r="G345">
            <v>2411005002</v>
          </cell>
          <cell r="H345" t="str">
            <v>MOSAICO HIDRÁULICO TIPO MODELO JASPE COLOR GRIS</v>
          </cell>
          <cell r="I345">
            <v>92</v>
          </cell>
          <cell r="J345" t="str">
            <v>M2</v>
          </cell>
          <cell r="K345">
            <v>2411</v>
          </cell>
          <cell r="L345" t="str">
            <v>N/A</v>
          </cell>
          <cell r="M345" t="str">
            <v>N/A</v>
          </cell>
          <cell r="N345" t="str">
            <v>N/A</v>
          </cell>
          <cell r="O345" t="str">
            <v>N/A</v>
          </cell>
          <cell r="P345" t="str">
            <v>BRENDA</v>
          </cell>
          <cell r="Q345">
            <v>46105</v>
          </cell>
          <cell r="R345" t="str">
            <v>COTIZACION</v>
          </cell>
        </row>
        <row r="346">
          <cell r="A346" t="str">
            <v>147/2026</v>
          </cell>
          <cell r="B346">
            <v>147</v>
          </cell>
          <cell r="C346" t="str">
            <v>REEMBOLSO</v>
          </cell>
          <cell r="D346">
            <v>46106</v>
          </cell>
          <cell r="E346" t="str">
            <v>NEUROCIRUGIA</v>
          </cell>
          <cell r="F346" t="str">
            <v>N/A</v>
          </cell>
          <cell r="G346">
            <v>3992100001</v>
          </cell>
          <cell r="H346" t="str">
            <v>RESONANCIA MAGNETICA DE COLUMNA LUMBAR</v>
          </cell>
          <cell r="I346">
            <v>1</v>
          </cell>
          <cell r="J346" t="str">
            <v>SERVICIO</v>
          </cell>
          <cell r="L346" t="str">
            <v>AGUAYO RAMIREZ NOEMI LOURDES</v>
          </cell>
          <cell r="M346">
            <v>2025119</v>
          </cell>
          <cell r="N346" t="str">
            <v>AGUAYO RAMIREZ NOEMI LOURDES</v>
          </cell>
          <cell r="O346">
            <v>10069051</v>
          </cell>
          <cell r="P346" t="str">
            <v>BRENDA</v>
          </cell>
          <cell r="Q346">
            <v>46105</v>
          </cell>
          <cell r="R346" t="str">
            <v>COTIZACION</v>
          </cell>
          <cell r="V346">
            <v>2672.41</v>
          </cell>
          <cell r="W346">
            <v>2672.41</v>
          </cell>
          <cell r="X346">
            <v>427.5856</v>
          </cell>
          <cell r="Y346">
            <v>3099.9955999999997</v>
          </cell>
          <cell r="AD346">
            <v>1</v>
          </cell>
          <cell r="AF346">
            <v>46105</v>
          </cell>
          <cell r="AG346" t="str">
            <v>CENTRO DE IMAGEN Y DIAGNOSTICO</v>
          </cell>
        </row>
        <row r="347">
          <cell r="A347" t="str">
            <v>148/2026</v>
          </cell>
          <cell r="B347">
            <v>148</v>
          </cell>
        </row>
        <row r="348">
          <cell r="A348" t="str">
            <v>/2026</v>
          </cell>
        </row>
        <row r="349">
          <cell r="A349" t="str">
            <v>/2026</v>
          </cell>
        </row>
        <row r="350">
          <cell r="A350" t="str">
            <v>/2026</v>
          </cell>
        </row>
        <row r="351">
          <cell r="A351" t="str">
            <v>/2026</v>
          </cell>
        </row>
        <row r="352">
          <cell r="A352" t="str">
            <v>/2026</v>
          </cell>
        </row>
        <row r="353">
          <cell r="A353" t="str">
            <v>/2026</v>
          </cell>
        </row>
        <row r="354">
          <cell r="A354" t="str">
            <v>/2026</v>
          </cell>
        </row>
        <row r="355">
          <cell r="A355" t="str">
            <v>/2026</v>
          </cell>
        </row>
        <row r="356">
          <cell r="A356" t="str">
            <v>/2026</v>
          </cell>
        </row>
        <row r="357">
          <cell r="A357" t="str">
            <v>/2026</v>
          </cell>
        </row>
        <row r="358">
          <cell r="A358" t="str">
            <v>/2026</v>
          </cell>
        </row>
        <row r="359">
          <cell r="A359" t="str">
            <v>/2026</v>
          </cell>
        </row>
        <row r="360">
          <cell r="A360" t="str">
            <v>/2026</v>
          </cell>
        </row>
        <row r="361">
          <cell r="A361" t="str">
            <v>/2026</v>
          </cell>
        </row>
        <row r="362">
          <cell r="A362" t="str">
            <v>/2026</v>
          </cell>
        </row>
        <row r="363">
          <cell r="A363" t="str">
            <v>/2026</v>
          </cell>
        </row>
        <row r="364">
          <cell r="A364" t="str">
            <v>/2026</v>
          </cell>
        </row>
        <row r="365">
          <cell r="A365" t="str">
            <v>/2026</v>
          </cell>
        </row>
        <row r="366">
          <cell r="A366" t="str">
            <v>/2026</v>
          </cell>
        </row>
        <row r="367">
          <cell r="A367" t="str">
            <v>/2026</v>
          </cell>
        </row>
        <row r="368">
          <cell r="A368" t="str">
            <v>/2026</v>
          </cell>
        </row>
        <row r="369">
          <cell r="A369" t="str">
            <v>/2026</v>
          </cell>
        </row>
        <row r="370">
          <cell r="A370" t="str">
            <v>/2026</v>
          </cell>
        </row>
        <row r="371">
          <cell r="A371" t="str">
            <v>/2026</v>
          </cell>
        </row>
        <row r="372">
          <cell r="A372" t="str">
            <v>/2026</v>
          </cell>
        </row>
        <row r="373">
          <cell r="A373" t="str">
            <v>/2026</v>
          </cell>
        </row>
        <row r="374">
          <cell r="A374" t="str">
            <v>/2026</v>
          </cell>
        </row>
        <row r="375">
          <cell r="A375" t="str">
            <v>/2026</v>
          </cell>
        </row>
        <row r="376">
          <cell r="A376" t="str">
            <v>/2026</v>
          </cell>
        </row>
        <row r="377">
          <cell r="A377" t="str">
            <v>/2026</v>
          </cell>
        </row>
        <row r="378">
          <cell r="A378" t="str">
            <v>/2026</v>
          </cell>
        </row>
        <row r="379">
          <cell r="A379" t="str">
            <v>/2026</v>
          </cell>
        </row>
        <row r="380">
          <cell r="A380" t="str">
            <v>/2026</v>
          </cell>
        </row>
        <row r="381">
          <cell r="A381" t="str">
            <v>/2026</v>
          </cell>
        </row>
        <row r="382">
          <cell r="A382" t="str">
            <v>/2026</v>
          </cell>
        </row>
        <row r="383">
          <cell r="A383" t="str">
            <v>/2026</v>
          </cell>
        </row>
        <row r="384">
          <cell r="A384" t="str">
            <v>/2026</v>
          </cell>
        </row>
        <row r="385">
          <cell r="A385" t="str">
            <v>/2026</v>
          </cell>
        </row>
        <row r="386">
          <cell r="A386" t="str">
            <v>/2026</v>
          </cell>
        </row>
        <row r="387">
          <cell r="A387" t="str">
            <v>/2026</v>
          </cell>
        </row>
        <row r="388">
          <cell r="A388" t="str">
            <v>/2026</v>
          </cell>
        </row>
        <row r="389">
          <cell r="A389" t="str">
            <v>/2026</v>
          </cell>
        </row>
        <row r="390">
          <cell r="A390" t="str">
            <v>/2026</v>
          </cell>
        </row>
        <row r="391">
          <cell r="A391" t="str">
            <v>/2026</v>
          </cell>
        </row>
        <row r="392">
          <cell r="A392" t="str">
            <v>/2026</v>
          </cell>
        </row>
        <row r="393">
          <cell r="A393" t="str">
            <v>/2026</v>
          </cell>
        </row>
        <row r="394">
          <cell r="A394" t="str">
            <v>/2026</v>
          </cell>
        </row>
        <row r="395">
          <cell r="A395" t="str">
            <v>/2026</v>
          </cell>
        </row>
        <row r="396">
          <cell r="A396" t="str">
            <v>/2026</v>
          </cell>
        </row>
        <row r="397">
          <cell r="A397" t="str">
            <v>/2026</v>
          </cell>
        </row>
        <row r="398">
          <cell r="A398" t="str">
            <v>/2026</v>
          </cell>
        </row>
        <row r="399">
          <cell r="A399" t="str">
            <v>/2026</v>
          </cell>
        </row>
        <row r="400">
          <cell r="A400" t="str">
            <v>/2026</v>
          </cell>
        </row>
        <row r="401">
          <cell r="A401" t="str">
            <v>/2026</v>
          </cell>
        </row>
        <row r="402">
          <cell r="A402" t="str">
            <v>/2026</v>
          </cell>
        </row>
        <row r="403">
          <cell r="A403" t="str">
            <v>/2026</v>
          </cell>
        </row>
        <row r="404">
          <cell r="A404" t="str">
            <v>/2026</v>
          </cell>
        </row>
        <row r="405">
          <cell r="A405" t="str">
            <v>/2026</v>
          </cell>
        </row>
        <row r="406">
          <cell r="A406" t="str">
            <v>/2026</v>
          </cell>
        </row>
        <row r="407">
          <cell r="A407" t="str">
            <v>/2026</v>
          </cell>
        </row>
        <row r="408">
          <cell r="A408" t="str">
            <v>/2026</v>
          </cell>
        </row>
        <row r="409">
          <cell r="A409" t="str">
            <v>/2026</v>
          </cell>
        </row>
        <row r="410">
          <cell r="A410" t="str">
            <v>/2026</v>
          </cell>
        </row>
        <row r="411">
          <cell r="A411" t="str">
            <v>/2026</v>
          </cell>
        </row>
        <row r="412">
          <cell r="A412" t="str">
            <v>/2026</v>
          </cell>
        </row>
        <row r="413">
          <cell r="A413" t="str">
            <v>/2026</v>
          </cell>
        </row>
        <row r="414">
          <cell r="A414" t="str">
            <v>/2026</v>
          </cell>
        </row>
        <row r="415">
          <cell r="A415" t="str">
            <v>/2026</v>
          </cell>
        </row>
        <row r="416">
          <cell r="A416" t="str">
            <v>/2026</v>
          </cell>
        </row>
        <row r="417">
          <cell r="A417" t="str">
            <v>/2026</v>
          </cell>
        </row>
        <row r="418">
          <cell r="A418" t="str">
            <v>/2026</v>
          </cell>
        </row>
        <row r="419">
          <cell r="A419" t="str">
            <v>/2026</v>
          </cell>
        </row>
        <row r="420">
          <cell r="A420" t="str">
            <v>/2026</v>
          </cell>
        </row>
        <row r="421">
          <cell r="A421" t="str">
            <v>/2026</v>
          </cell>
        </row>
        <row r="422">
          <cell r="A422" t="str">
            <v>/2026</v>
          </cell>
        </row>
        <row r="423">
          <cell r="A423" t="str">
            <v>/2026</v>
          </cell>
        </row>
        <row r="424">
          <cell r="A424" t="str">
            <v>/2026</v>
          </cell>
        </row>
        <row r="425">
          <cell r="A425" t="str">
            <v>/2026</v>
          </cell>
        </row>
        <row r="426">
          <cell r="A426" t="str">
            <v>/2026</v>
          </cell>
        </row>
        <row r="427">
          <cell r="A427" t="str">
            <v>/2026</v>
          </cell>
        </row>
        <row r="428">
          <cell r="A428" t="str">
            <v>/2026</v>
          </cell>
        </row>
        <row r="429">
          <cell r="A429" t="str">
            <v>/2026</v>
          </cell>
        </row>
        <row r="430">
          <cell r="A430" t="str">
            <v>/2026</v>
          </cell>
        </row>
        <row r="431">
          <cell r="A431" t="str">
            <v>/2026</v>
          </cell>
        </row>
        <row r="432">
          <cell r="A432" t="str">
            <v>/2026</v>
          </cell>
        </row>
        <row r="433">
          <cell r="A433" t="str">
            <v>/2026</v>
          </cell>
        </row>
        <row r="434">
          <cell r="A434" t="str">
            <v>/2026</v>
          </cell>
        </row>
        <row r="435">
          <cell r="A435" t="str">
            <v>/2026</v>
          </cell>
        </row>
        <row r="436">
          <cell r="A436" t="str">
            <v>/2026</v>
          </cell>
        </row>
        <row r="437">
          <cell r="A437" t="str">
            <v>/2026</v>
          </cell>
        </row>
        <row r="438">
          <cell r="A438" t="str">
            <v>/2026</v>
          </cell>
        </row>
        <row r="439">
          <cell r="A439" t="str">
            <v>/2026</v>
          </cell>
        </row>
        <row r="440">
          <cell r="A440" t="str">
            <v>/2026</v>
          </cell>
        </row>
        <row r="441">
          <cell r="A441" t="str">
            <v>/2026</v>
          </cell>
        </row>
        <row r="442">
          <cell r="A442" t="str">
            <v>/2026</v>
          </cell>
        </row>
        <row r="443">
          <cell r="A443" t="str">
            <v>/2026</v>
          </cell>
        </row>
        <row r="444">
          <cell r="A444" t="str">
            <v>/2026</v>
          </cell>
        </row>
        <row r="445">
          <cell r="A445" t="str">
            <v>/2026</v>
          </cell>
        </row>
        <row r="446">
          <cell r="A446" t="str">
            <v>/2026</v>
          </cell>
        </row>
        <row r="447">
          <cell r="A447" t="str">
            <v>/2026</v>
          </cell>
        </row>
        <row r="448">
          <cell r="A448" t="str">
            <v>/2026</v>
          </cell>
        </row>
        <row r="449">
          <cell r="A449" t="str">
            <v>/2026</v>
          </cell>
        </row>
        <row r="450">
          <cell r="A450" t="str">
            <v>/2026</v>
          </cell>
        </row>
        <row r="451">
          <cell r="A451" t="str">
            <v>/2026</v>
          </cell>
        </row>
        <row r="452">
          <cell r="A452" t="str">
            <v>/2026</v>
          </cell>
        </row>
        <row r="453">
          <cell r="A453" t="str">
            <v>/2026</v>
          </cell>
        </row>
        <row r="454">
          <cell r="A454" t="str">
            <v>/2026</v>
          </cell>
        </row>
        <row r="455">
          <cell r="A455" t="str">
            <v>/2026</v>
          </cell>
        </row>
        <row r="456">
          <cell r="A456" t="str">
            <v>/2026</v>
          </cell>
        </row>
        <row r="457">
          <cell r="A457" t="str">
            <v>/2026</v>
          </cell>
        </row>
        <row r="458">
          <cell r="A458" t="str">
            <v>/2026</v>
          </cell>
        </row>
        <row r="459">
          <cell r="A459" t="str">
            <v>/2026</v>
          </cell>
        </row>
        <row r="460">
          <cell r="A460" t="str">
            <v>/2026</v>
          </cell>
        </row>
        <row r="461">
          <cell r="A461" t="str">
            <v>/2026</v>
          </cell>
        </row>
        <row r="462">
          <cell r="A462" t="str">
            <v>/2026</v>
          </cell>
        </row>
        <row r="463">
          <cell r="A463" t="str">
            <v>/2026</v>
          </cell>
        </row>
        <row r="464">
          <cell r="A464" t="str">
            <v>/2026</v>
          </cell>
        </row>
        <row r="465">
          <cell r="A465" t="str">
            <v>/2026</v>
          </cell>
        </row>
        <row r="466">
          <cell r="A466" t="str">
            <v>/2026</v>
          </cell>
        </row>
        <row r="467">
          <cell r="A467" t="str">
            <v>/2026</v>
          </cell>
        </row>
        <row r="468">
          <cell r="A468" t="str">
            <v>/2026</v>
          </cell>
        </row>
        <row r="469">
          <cell r="A469" t="str">
            <v>/2026</v>
          </cell>
        </row>
        <row r="470">
          <cell r="A470" t="str">
            <v>/2026</v>
          </cell>
        </row>
        <row r="471">
          <cell r="A471" t="str">
            <v>/2026</v>
          </cell>
        </row>
        <row r="472">
          <cell r="A472" t="str">
            <v>/2026</v>
          </cell>
        </row>
        <row r="473">
          <cell r="A473" t="str">
            <v>/2026</v>
          </cell>
        </row>
        <row r="474">
          <cell r="A474" t="str">
            <v>/2026</v>
          </cell>
        </row>
        <row r="475">
          <cell r="A475" t="str">
            <v>/2026</v>
          </cell>
        </row>
        <row r="476">
          <cell r="A476" t="str">
            <v>/2026</v>
          </cell>
        </row>
        <row r="477">
          <cell r="A477" t="str">
            <v>/2026</v>
          </cell>
        </row>
        <row r="478">
          <cell r="A478" t="str">
            <v>/2026</v>
          </cell>
        </row>
        <row r="479">
          <cell r="A479" t="str">
            <v>/2026</v>
          </cell>
        </row>
        <row r="480">
          <cell r="A480" t="str">
            <v>/2026</v>
          </cell>
        </row>
        <row r="481">
          <cell r="A481" t="str">
            <v>/2026</v>
          </cell>
        </row>
        <row r="482">
          <cell r="A482" t="str">
            <v>/2026</v>
          </cell>
        </row>
        <row r="483">
          <cell r="A483" t="str">
            <v>/2026</v>
          </cell>
        </row>
        <row r="484">
          <cell r="A484" t="str">
            <v>/2026</v>
          </cell>
        </row>
        <row r="485">
          <cell r="A485" t="str">
            <v>/2026</v>
          </cell>
        </row>
        <row r="486">
          <cell r="A486" t="str">
            <v>/2026</v>
          </cell>
        </row>
        <row r="487">
          <cell r="A487" t="str">
            <v>/2026</v>
          </cell>
        </row>
        <row r="488">
          <cell r="A488" t="str">
            <v>/2026</v>
          </cell>
        </row>
        <row r="489">
          <cell r="A489" t="str">
            <v>/2026</v>
          </cell>
        </row>
        <row r="490">
          <cell r="A490" t="str">
            <v>/2026</v>
          </cell>
        </row>
        <row r="491">
          <cell r="A491" t="str">
            <v>/2026</v>
          </cell>
        </row>
        <row r="492">
          <cell r="A492" t="str">
            <v>/2026</v>
          </cell>
        </row>
        <row r="493">
          <cell r="A493" t="str">
            <v>/2026</v>
          </cell>
        </row>
        <row r="494">
          <cell r="A494" t="str">
            <v>/2026</v>
          </cell>
        </row>
        <row r="495">
          <cell r="A495" t="str">
            <v>/2026</v>
          </cell>
        </row>
        <row r="496">
          <cell r="A496" t="str">
            <v>/2026</v>
          </cell>
        </row>
        <row r="497">
          <cell r="A497" t="str">
            <v>/2026</v>
          </cell>
        </row>
        <row r="498">
          <cell r="A498" t="str">
            <v>/2026</v>
          </cell>
        </row>
        <row r="499">
          <cell r="A499" t="str">
            <v>/2026</v>
          </cell>
        </row>
        <row r="500">
          <cell r="A500" t="str">
            <v>/2026</v>
          </cell>
        </row>
        <row r="501">
          <cell r="A501" t="str">
            <v>/2026</v>
          </cell>
        </row>
        <row r="502">
          <cell r="A502" t="str">
            <v>/2026</v>
          </cell>
        </row>
        <row r="503">
          <cell r="A503" t="str">
            <v>/2026</v>
          </cell>
        </row>
        <row r="504">
          <cell r="A504" t="str">
            <v>/2026</v>
          </cell>
        </row>
        <row r="505">
          <cell r="A505" t="str">
            <v>/2026</v>
          </cell>
        </row>
        <row r="506">
          <cell r="A506" t="str">
            <v>/2026</v>
          </cell>
        </row>
        <row r="507">
          <cell r="A507" t="str">
            <v>/2026</v>
          </cell>
        </row>
        <row r="508">
          <cell r="A508" t="str">
            <v>/2026</v>
          </cell>
        </row>
        <row r="509">
          <cell r="A509" t="str">
            <v>/2026</v>
          </cell>
        </row>
        <row r="510">
          <cell r="A510" t="str">
            <v>/2026</v>
          </cell>
        </row>
        <row r="511">
          <cell r="A511" t="str">
            <v>/2026</v>
          </cell>
        </row>
        <row r="512">
          <cell r="A512" t="str">
            <v>/2026</v>
          </cell>
        </row>
        <row r="513">
          <cell r="A513" t="str">
            <v>/2026</v>
          </cell>
        </row>
        <row r="514">
          <cell r="A514" t="str">
            <v>/2026</v>
          </cell>
        </row>
        <row r="515">
          <cell r="A515" t="str">
            <v>/2026</v>
          </cell>
        </row>
        <row r="516">
          <cell r="A516" t="str">
            <v>/2026</v>
          </cell>
        </row>
        <row r="517">
          <cell r="A517" t="str">
            <v>/2026</v>
          </cell>
        </row>
        <row r="518">
          <cell r="A518" t="str">
            <v>/2026</v>
          </cell>
        </row>
        <row r="519">
          <cell r="A519" t="str">
            <v>/2026</v>
          </cell>
        </row>
        <row r="520">
          <cell r="A520" t="str">
            <v>/2026</v>
          </cell>
        </row>
        <row r="521">
          <cell r="A521" t="str">
            <v>/2026</v>
          </cell>
        </row>
        <row r="522">
          <cell r="A522" t="str">
            <v>/2026</v>
          </cell>
        </row>
        <row r="523">
          <cell r="A523" t="str">
            <v>/2026</v>
          </cell>
        </row>
        <row r="524">
          <cell r="A524" t="str">
            <v>/2026</v>
          </cell>
        </row>
        <row r="525">
          <cell r="A525" t="str">
            <v>/2026</v>
          </cell>
        </row>
        <row r="526">
          <cell r="A526" t="str">
            <v>/2026</v>
          </cell>
        </row>
        <row r="527">
          <cell r="A527" t="str">
            <v>/2026</v>
          </cell>
        </row>
        <row r="528">
          <cell r="A528" t="str">
            <v>/2026</v>
          </cell>
        </row>
        <row r="529">
          <cell r="A529" t="str">
            <v>/2026</v>
          </cell>
        </row>
        <row r="530">
          <cell r="A530" t="str">
            <v>/2026</v>
          </cell>
        </row>
        <row r="531">
          <cell r="A531" t="str">
            <v>/2026</v>
          </cell>
        </row>
        <row r="532">
          <cell r="A532" t="str">
            <v>/2026</v>
          </cell>
        </row>
        <row r="533">
          <cell r="A533" t="str">
            <v>/2026</v>
          </cell>
        </row>
        <row r="534">
          <cell r="A534" t="str">
            <v>/2026</v>
          </cell>
        </row>
        <row r="535">
          <cell r="A535" t="str">
            <v>/2026</v>
          </cell>
        </row>
        <row r="536">
          <cell r="A536" t="str">
            <v>/2026</v>
          </cell>
        </row>
        <row r="537">
          <cell r="A537" t="str">
            <v>/2026</v>
          </cell>
        </row>
        <row r="538">
          <cell r="A538" t="str">
            <v>/2026</v>
          </cell>
        </row>
        <row r="539">
          <cell r="A539" t="str">
            <v>/2026</v>
          </cell>
        </row>
        <row r="540">
          <cell r="A540" t="str">
            <v>/2026</v>
          </cell>
        </row>
        <row r="541">
          <cell r="A541" t="str">
            <v>/2026</v>
          </cell>
        </row>
        <row r="542">
          <cell r="A542" t="str">
            <v>/2026</v>
          </cell>
        </row>
        <row r="543">
          <cell r="A543" t="str">
            <v>/2026</v>
          </cell>
        </row>
        <row r="544">
          <cell r="A544" t="str">
            <v>/2026</v>
          </cell>
        </row>
        <row r="545">
          <cell r="A545" t="str">
            <v>/2026</v>
          </cell>
        </row>
        <row r="546">
          <cell r="A546" t="str">
            <v>/2026</v>
          </cell>
        </row>
        <row r="547">
          <cell r="A547" t="str">
            <v>/2026</v>
          </cell>
        </row>
        <row r="548">
          <cell r="A548" t="str">
            <v>/2026</v>
          </cell>
        </row>
        <row r="549">
          <cell r="A549" t="str">
            <v>/2026</v>
          </cell>
        </row>
        <row r="550">
          <cell r="A550" t="str">
            <v>/2026</v>
          </cell>
        </row>
        <row r="551">
          <cell r="A551" t="str">
            <v>/2026</v>
          </cell>
        </row>
        <row r="552">
          <cell r="A552" t="str">
            <v>/2026</v>
          </cell>
        </row>
        <row r="553">
          <cell r="A553" t="str">
            <v>/2026</v>
          </cell>
        </row>
        <row r="554">
          <cell r="A554" t="str">
            <v>/2026</v>
          </cell>
        </row>
        <row r="555">
          <cell r="A555" t="str">
            <v>/2026</v>
          </cell>
        </row>
        <row r="556">
          <cell r="A556" t="str">
            <v>/2026</v>
          </cell>
        </row>
        <row r="557">
          <cell r="A557" t="str">
            <v>/2026</v>
          </cell>
        </row>
        <row r="558">
          <cell r="A558" t="str">
            <v>/2026</v>
          </cell>
        </row>
        <row r="559">
          <cell r="A559" t="str">
            <v>/2026</v>
          </cell>
        </row>
        <row r="560">
          <cell r="A560" t="str">
            <v>/2026</v>
          </cell>
        </row>
        <row r="561">
          <cell r="A561" t="str">
            <v>/2026</v>
          </cell>
        </row>
        <row r="562">
          <cell r="A562" t="str">
            <v>/2026</v>
          </cell>
        </row>
        <row r="563">
          <cell r="A563" t="str">
            <v>/2026</v>
          </cell>
        </row>
        <row r="564">
          <cell r="A564" t="str">
            <v>/2026</v>
          </cell>
        </row>
        <row r="565">
          <cell r="A565" t="str">
            <v>/2026</v>
          </cell>
        </row>
        <row r="566">
          <cell r="A566" t="str">
            <v>/2026</v>
          </cell>
        </row>
        <row r="567">
          <cell r="A567" t="str">
            <v>/2026</v>
          </cell>
        </row>
        <row r="568">
          <cell r="A568" t="str">
            <v>/2026</v>
          </cell>
        </row>
        <row r="569">
          <cell r="A569" t="str">
            <v>/2026</v>
          </cell>
        </row>
        <row r="570">
          <cell r="A570" t="str">
            <v>/2026</v>
          </cell>
        </row>
        <row r="571">
          <cell r="A571" t="str">
            <v>/2026</v>
          </cell>
        </row>
        <row r="572">
          <cell r="A572" t="str">
            <v>/2026</v>
          </cell>
        </row>
        <row r="573">
          <cell r="A573" t="str">
            <v>/2026</v>
          </cell>
        </row>
        <row r="574">
          <cell r="A574" t="str">
            <v>/2026</v>
          </cell>
        </row>
        <row r="575">
          <cell r="A575" t="str">
            <v>/2026</v>
          </cell>
        </row>
      </sheetData>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ntacto@diprogy.com" TargetMode="External"/><Relationship Id="rId2" Type="http://schemas.openxmlformats.org/officeDocument/2006/relationships/hyperlink" Target="mailto:doloresmagdalenarosalesrojas1@gmail.com" TargetMode="External"/><Relationship Id="rId1" Type="http://schemas.openxmlformats.org/officeDocument/2006/relationships/hyperlink" Target="mailto:ana.gonzalez@difasa.com.mx"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42"/>
  <sheetViews>
    <sheetView zoomScale="80" zoomScaleNormal="80" workbookViewId="0">
      <selection activeCell="F12" sqref="F12:G12"/>
    </sheetView>
  </sheetViews>
  <sheetFormatPr baseColWidth="10" defaultColWidth="14.42578125" defaultRowHeight="15" customHeight="1" x14ac:dyDescent="0.25"/>
  <cols>
    <col min="1" max="1" width="11.85546875" customWidth="1"/>
    <col min="2" max="2" width="12.85546875" customWidth="1"/>
    <col min="3" max="3" width="12.7109375" customWidth="1"/>
    <col min="4" max="4" width="9.42578125" customWidth="1"/>
    <col min="5" max="5" width="14.42578125" customWidth="1"/>
    <col min="6" max="11" width="15.85546875" customWidth="1"/>
    <col min="12" max="12" width="16.85546875" customWidth="1"/>
    <col min="13" max="13" width="5" customWidth="1"/>
    <col min="14" max="14" width="8.85546875" bestFit="1" customWidth="1"/>
    <col min="15" max="15" width="28.140625" bestFit="1" customWidth="1"/>
    <col min="16" max="16" width="6.5703125" bestFit="1" customWidth="1"/>
    <col min="19" max="19" width="5.5703125" customWidth="1"/>
    <col min="20" max="20" width="16.42578125" customWidth="1"/>
    <col min="21" max="21" width="15.28515625" customWidth="1"/>
    <col min="22" max="22" width="4.5703125" customWidth="1"/>
    <col min="25" max="25" width="5.5703125" customWidth="1"/>
    <col min="28" max="28" width="4.7109375" customWidth="1"/>
  </cols>
  <sheetData>
    <row r="1" spans="1:27" ht="9.75" customHeight="1" x14ac:dyDescent="0.25">
      <c r="A1" s="145"/>
      <c r="B1" s="145"/>
      <c r="C1" s="145"/>
      <c r="D1" s="145"/>
      <c r="E1" s="145"/>
      <c r="F1" s="145"/>
      <c r="G1" s="145"/>
      <c r="H1" s="145"/>
      <c r="I1" s="145"/>
      <c r="J1" s="145"/>
      <c r="K1" s="145"/>
      <c r="L1" s="145"/>
    </row>
    <row r="2" spans="1:27" ht="18.75" customHeight="1" x14ac:dyDescent="0.25">
      <c r="A2" s="146" t="s">
        <v>38</v>
      </c>
      <c r="B2" s="146"/>
      <c r="C2" s="146"/>
      <c r="D2" s="146"/>
      <c r="E2" s="146"/>
      <c r="F2" s="146"/>
      <c r="G2" s="146"/>
      <c r="H2" s="146"/>
      <c r="I2" s="146"/>
      <c r="J2" s="146"/>
      <c r="K2" s="146"/>
      <c r="L2" s="146"/>
    </row>
    <row r="3" spans="1:27" ht="12.75" customHeight="1" x14ac:dyDescent="0.25">
      <c r="A3" s="156"/>
      <c r="B3" s="156"/>
      <c r="C3" s="156"/>
      <c r="D3" s="156"/>
      <c r="E3" s="156"/>
      <c r="F3" s="156"/>
      <c r="G3" s="156"/>
      <c r="H3" s="156"/>
      <c r="I3" s="156"/>
      <c r="J3" s="156"/>
      <c r="K3" s="156"/>
      <c r="L3" s="156"/>
      <c r="M3" s="11"/>
      <c r="N3" s="11"/>
      <c r="O3" s="11"/>
      <c r="P3" s="11"/>
    </row>
    <row r="4" spans="1:27" x14ac:dyDescent="0.25">
      <c r="A4" s="2"/>
      <c r="B4" s="2"/>
      <c r="C4" s="2"/>
      <c r="D4" s="2"/>
      <c r="E4" s="2"/>
      <c r="F4" s="2"/>
      <c r="G4" s="2"/>
      <c r="H4" s="2"/>
      <c r="I4" s="2"/>
      <c r="J4" s="8" t="s">
        <v>22</v>
      </c>
      <c r="K4" s="148">
        <f ca="1">TODAY()</f>
        <v>46142</v>
      </c>
      <c r="L4" s="148"/>
      <c r="N4" s="13"/>
      <c r="P4" s="86"/>
    </row>
    <row r="5" spans="1:27" ht="8.25" customHeight="1" x14ac:dyDescent="0.25">
      <c r="A5" s="2"/>
      <c r="B5" s="2"/>
      <c r="C5" s="2"/>
      <c r="D5" s="2"/>
      <c r="E5" s="2"/>
      <c r="F5" s="2"/>
      <c r="G5" s="2"/>
      <c r="H5" s="2"/>
      <c r="I5" s="2"/>
      <c r="J5" s="3"/>
      <c r="K5" s="72"/>
      <c r="L5" s="72"/>
    </row>
    <row r="6" spans="1:27" x14ac:dyDescent="0.25">
      <c r="A6" s="2"/>
      <c r="B6" s="2"/>
      <c r="C6" s="2"/>
      <c r="D6" s="2"/>
      <c r="E6" s="2"/>
      <c r="F6" s="2"/>
      <c r="G6" s="2"/>
      <c r="H6" s="2"/>
      <c r="I6" s="149" t="s">
        <v>39</v>
      </c>
      <c r="J6" s="150"/>
      <c r="K6" s="152" t="s">
        <v>147</v>
      </c>
      <c r="L6" s="153"/>
      <c r="N6" t="s">
        <v>145</v>
      </c>
      <c r="O6" t="e">
        <f>VLOOKUP(K6,[1]BASE!$1:$1048576,14,0)</f>
        <v>#N/A</v>
      </c>
    </row>
    <row r="7" spans="1:27" ht="9.75" customHeight="1" x14ac:dyDescent="0.25">
      <c r="A7" s="2"/>
      <c r="B7" s="2"/>
      <c r="C7" s="2"/>
      <c r="D7" s="2"/>
      <c r="E7" s="2"/>
      <c r="F7" s="2"/>
      <c r="G7" s="2"/>
      <c r="H7" s="2"/>
      <c r="I7" s="2"/>
      <c r="J7" s="3"/>
      <c r="K7" s="4"/>
      <c r="L7" s="4"/>
    </row>
    <row r="8" spans="1:27" ht="34.5" customHeight="1" x14ac:dyDescent="0.25">
      <c r="A8" s="147" t="s">
        <v>2</v>
      </c>
      <c r="B8" s="147"/>
      <c r="C8" s="151" t="s">
        <v>146</v>
      </c>
      <c r="D8" s="151"/>
      <c r="E8" s="151"/>
      <c r="F8" s="151"/>
      <c r="G8" s="151"/>
      <c r="H8" s="151"/>
      <c r="I8" s="154" t="s">
        <v>25</v>
      </c>
      <c r="J8" s="154"/>
      <c r="K8" s="155" t="s">
        <v>32</v>
      </c>
      <c r="L8" s="155"/>
    </row>
    <row r="9" spans="1:27" ht="7.5" customHeight="1" x14ac:dyDescent="0.25">
      <c r="A9" s="73"/>
      <c r="B9" s="75"/>
      <c r="C9" s="75"/>
      <c r="D9" s="74"/>
      <c r="E9" s="74"/>
      <c r="F9" s="74"/>
      <c r="G9" s="74"/>
      <c r="H9" s="74"/>
      <c r="I9" s="74"/>
      <c r="J9" s="74"/>
      <c r="K9" s="4"/>
      <c r="L9" s="4"/>
    </row>
    <row r="10" spans="1:27" ht="15.75" customHeight="1" x14ac:dyDescent="0.25">
      <c r="A10" s="157" t="s">
        <v>1</v>
      </c>
      <c r="B10" s="157"/>
      <c r="C10" s="157"/>
      <c r="D10" s="157"/>
      <c r="E10" s="157"/>
      <c r="F10" s="157"/>
      <c r="G10" s="157"/>
      <c r="H10" s="157"/>
      <c r="I10" s="157"/>
      <c r="J10" s="157"/>
      <c r="K10" s="157"/>
      <c r="L10" s="157"/>
      <c r="AA10" s="12"/>
    </row>
    <row r="11" spans="1:27" ht="4.5" customHeight="1" x14ac:dyDescent="0.3">
      <c r="A11" s="5"/>
      <c r="B11" s="5"/>
      <c r="C11" s="5"/>
      <c r="D11" s="5"/>
      <c r="E11" s="5"/>
      <c r="F11" s="5"/>
      <c r="G11" s="5"/>
      <c r="H11" s="5"/>
      <c r="I11" s="5"/>
      <c r="J11" s="5"/>
      <c r="K11" s="5"/>
      <c r="L11" s="5"/>
    </row>
    <row r="12" spans="1:27" ht="35.25" customHeight="1" x14ac:dyDescent="0.25">
      <c r="A12" s="96" t="s">
        <v>10</v>
      </c>
      <c r="B12" s="97"/>
      <c r="C12" s="98"/>
      <c r="D12" s="166" t="s">
        <v>4</v>
      </c>
      <c r="E12" s="167"/>
      <c r="F12" s="220" t="s">
        <v>157</v>
      </c>
      <c r="G12" s="221"/>
      <c r="H12" s="170" t="s">
        <v>148</v>
      </c>
      <c r="I12" s="171"/>
      <c r="J12" s="163" t="s">
        <v>164</v>
      </c>
      <c r="K12" s="164"/>
      <c r="L12" s="65" t="s">
        <v>24</v>
      </c>
    </row>
    <row r="13" spans="1:27" ht="29.25" customHeight="1" x14ac:dyDescent="0.25">
      <c r="A13" s="99"/>
      <c r="B13" s="100"/>
      <c r="C13" s="101"/>
      <c r="D13" s="106" t="s">
        <v>5</v>
      </c>
      <c r="E13" s="106"/>
      <c r="F13" s="165" t="s">
        <v>158</v>
      </c>
      <c r="G13" s="95"/>
      <c r="H13" s="102" t="s">
        <v>148</v>
      </c>
      <c r="I13" s="103"/>
      <c r="J13" s="160" t="s">
        <v>165</v>
      </c>
      <c r="K13" s="161"/>
      <c r="L13" s="158" t="s">
        <v>68</v>
      </c>
    </row>
    <row r="14" spans="1:27" ht="53.25" customHeight="1" x14ac:dyDescent="0.25">
      <c r="A14" s="99"/>
      <c r="B14" s="100"/>
      <c r="C14" s="101"/>
      <c r="D14" s="104" t="s">
        <v>6</v>
      </c>
      <c r="E14" s="105"/>
      <c r="F14" s="222" t="s">
        <v>159</v>
      </c>
      <c r="G14" s="223"/>
      <c r="H14" s="102" t="s">
        <v>149</v>
      </c>
      <c r="I14" s="103"/>
      <c r="J14" s="162" t="s">
        <v>166</v>
      </c>
      <c r="K14" s="161"/>
      <c r="L14" s="159"/>
    </row>
    <row r="15" spans="1:27" x14ac:dyDescent="0.25">
      <c r="A15" s="99"/>
      <c r="B15" s="100"/>
      <c r="C15" s="101"/>
      <c r="D15" s="104" t="s">
        <v>7</v>
      </c>
      <c r="E15" s="105"/>
      <c r="F15" s="165" t="s">
        <v>160</v>
      </c>
      <c r="G15" s="95"/>
      <c r="H15" s="102" t="s">
        <v>150</v>
      </c>
      <c r="I15" s="103"/>
      <c r="J15" s="160" t="s">
        <v>163</v>
      </c>
      <c r="K15" s="161"/>
      <c r="L15" s="159"/>
    </row>
    <row r="16" spans="1:27" x14ac:dyDescent="0.25">
      <c r="A16" s="99"/>
      <c r="B16" s="100"/>
      <c r="C16" s="101"/>
      <c r="D16" s="104" t="s">
        <v>9</v>
      </c>
      <c r="E16" s="105"/>
      <c r="F16" s="165" t="s">
        <v>161</v>
      </c>
      <c r="G16" s="95"/>
      <c r="H16" s="102" t="s">
        <v>151</v>
      </c>
      <c r="I16" s="103"/>
      <c r="J16" s="88" t="s">
        <v>167</v>
      </c>
      <c r="K16" s="89"/>
      <c r="L16" s="159"/>
    </row>
    <row r="17" spans="1:12" ht="15" customHeight="1" x14ac:dyDescent="0.25">
      <c r="A17" s="99"/>
      <c r="B17" s="100"/>
      <c r="C17" s="101"/>
      <c r="D17" s="104" t="s">
        <v>8</v>
      </c>
      <c r="E17" s="105"/>
      <c r="F17" s="214" t="s">
        <v>162</v>
      </c>
      <c r="G17" s="217"/>
      <c r="H17" s="117" t="s">
        <v>152</v>
      </c>
      <c r="I17" s="118"/>
      <c r="J17" s="214" t="s">
        <v>168</v>
      </c>
      <c r="K17" s="89"/>
      <c r="L17" s="159"/>
    </row>
    <row r="18" spans="1:12" x14ac:dyDescent="0.25">
      <c r="A18" s="172" t="s">
        <v>14</v>
      </c>
      <c r="B18" s="173"/>
      <c r="C18" s="174"/>
      <c r="D18" s="178" t="s">
        <v>11</v>
      </c>
      <c r="E18" s="180"/>
      <c r="F18" s="222" t="s">
        <v>163</v>
      </c>
      <c r="G18" s="223"/>
      <c r="H18" s="102" t="s">
        <v>153</v>
      </c>
      <c r="I18" s="103"/>
      <c r="J18" s="162" t="s">
        <v>169</v>
      </c>
      <c r="K18" s="161"/>
      <c r="L18" s="159"/>
    </row>
    <row r="19" spans="1:12" ht="24.75" customHeight="1" x14ac:dyDescent="0.25">
      <c r="A19" s="175"/>
      <c r="B19" s="176"/>
      <c r="C19" s="177"/>
      <c r="D19" s="178" t="s">
        <v>12</v>
      </c>
      <c r="E19" s="179"/>
      <c r="F19" s="218" t="s">
        <v>163</v>
      </c>
      <c r="G19" s="219"/>
      <c r="H19" s="168" t="s">
        <v>154</v>
      </c>
      <c r="I19" s="169"/>
      <c r="J19" s="168" t="s">
        <v>154</v>
      </c>
      <c r="K19" s="169"/>
      <c r="L19" s="159"/>
    </row>
    <row r="20" spans="1:12" ht="24.75" customHeight="1" x14ac:dyDescent="0.25">
      <c r="A20" s="175"/>
      <c r="B20" s="176"/>
      <c r="C20" s="177"/>
      <c r="D20" s="119" t="s">
        <v>70</v>
      </c>
      <c r="E20" s="120"/>
      <c r="F20" s="77"/>
      <c r="G20" s="78"/>
      <c r="H20" s="87" t="s">
        <v>155</v>
      </c>
      <c r="I20" s="76"/>
      <c r="L20" s="159"/>
    </row>
    <row r="21" spans="1:12" ht="15" customHeight="1" x14ac:dyDescent="0.25">
      <c r="A21" s="116" t="s">
        <v>3</v>
      </c>
      <c r="B21" s="94"/>
      <c r="C21" s="94"/>
      <c r="D21" s="116" t="s">
        <v>0</v>
      </c>
      <c r="E21" s="92" t="s">
        <v>13</v>
      </c>
      <c r="F21" s="92" t="s">
        <v>33</v>
      </c>
      <c r="G21" s="92" t="s">
        <v>34</v>
      </c>
      <c r="H21" s="92" t="s">
        <v>33</v>
      </c>
      <c r="I21" s="92" t="s">
        <v>35</v>
      </c>
      <c r="J21" s="215" t="s">
        <v>33</v>
      </c>
      <c r="K21" s="215" t="s">
        <v>35</v>
      </c>
      <c r="L21" s="92" t="s">
        <v>67</v>
      </c>
    </row>
    <row r="22" spans="1:12" x14ac:dyDescent="0.25">
      <c r="A22" s="94"/>
      <c r="B22" s="94"/>
      <c r="C22" s="94"/>
      <c r="D22" s="94"/>
      <c r="E22" s="93"/>
      <c r="F22" s="94"/>
      <c r="G22" s="94"/>
      <c r="H22" s="94"/>
      <c r="I22" s="94"/>
      <c r="J22" s="216"/>
      <c r="K22" s="216"/>
      <c r="L22" s="94"/>
    </row>
    <row r="23" spans="1:12" ht="89.25" customHeight="1" x14ac:dyDescent="0.25">
      <c r="A23" s="224" t="s">
        <v>171</v>
      </c>
      <c r="B23" s="90" t="s">
        <v>170</v>
      </c>
      <c r="C23" s="91"/>
      <c r="D23" s="66">
        <v>100</v>
      </c>
      <c r="E23" s="67" t="s">
        <v>156</v>
      </c>
      <c r="F23" s="68">
        <v>790</v>
      </c>
      <c r="G23" s="68">
        <f>F23*D23</f>
        <v>79000</v>
      </c>
      <c r="H23" s="68">
        <v>899</v>
      </c>
      <c r="I23" s="68">
        <f>H23*D23</f>
        <v>89900</v>
      </c>
      <c r="J23" s="68">
        <v>995</v>
      </c>
      <c r="K23" s="68">
        <f>J23*D23</f>
        <v>99500</v>
      </c>
      <c r="L23" s="71">
        <f>F23</f>
        <v>790</v>
      </c>
    </row>
    <row r="24" spans="1:12" x14ac:dyDescent="0.25">
      <c r="A24" s="108" t="s">
        <v>69</v>
      </c>
      <c r="B24" s="109"/>
      <c r="C24" s="109"/>
      <c r="D24" s="109"/>
      <c r="E24" s="109"/>
      <c r="F24" s="109"/>
      <c r="G24" s="109"/>
      <c r="H24" s="109"/>
      <c r="I24" s="109"/>
      <c r="J24" s="109"/>
      <c r="K24" s="110"/>
      <c r="L24" s="69">
        <f>SUM(G23:G302)</f>
        <v>79000</v>
      </c>
    </row>
    <row r="25" spans="1:12" x14ac:dyDescent="0.25">
      <c r="A25" s="108" t="s">
        <v>36</v>
      </c>
      <c r="B25" s="109"/>
      <c r="C25" s="109"/>
      <c r="D25" s="109"/>
      <c r="E25" s="109"/>
      <c r="F25" s="109"/>
      <c r="G25" s="109"/>
      <c r="H25" s="109"/>
      <c r="I25" s="109"/>
      <c r="J25" s="109"/>
      <c r="K25" s="110"/>
      <c r="L25" s="69"/>
    </row>
    <row r="26" spans="1:12" x14ac:dyDescent="0.25">
      <c r="A26" s="113" t="s">
        <v>142</v>
      </c>
      <c r="B26" s="114"/>
      <c r="C26" s="114"/>
      <c r="D26" s="114"/>
      <c r="E26" s="114"/>
      <c r="F26" s="114"/>
      <c r="G26" s="114"/>
      <c r="H26" s="114"/>
      <c r="I26" s="114"/>
      <c r="J26" s="114"/>
      <c r="K26" s="115"/>
      <c r="L26" s="70">
        <f>L25+L24</f>
        <v>79000</v>
      </c>
    </row>
    <row r="27" spans="1:12" ht="15" customHeight="1" x14ac:dyDescent="0.25">
      <c r="A27" s="112"/>
      <c r="B27" s="112"/>
      <c r="C27" s="112"/>
      <c r="D27" s="112"/>
      <c r="E27" s="112"/>
      <c r="F27" s="112"/>
      <c r="G27" s="112"/>
      <c r="H27" s="112"/>
      <c r="I27" s="112"/>
      <c r="J27" s="112"/>
      <c r="K27" s="112"/>
      <c r="L27" s="112"/>
    </row>
    <row r="28" spans="1:12" ht="13.5" customHeight="1" x14ac:dyDescent="0.25">
      <c r="A28" s="111" t="s">
        <v>15</v>
      </c>
      <c r="B28" s="111"/>
      <c r="C28" s="111"/>
      <c r="D28" s="111"/>
      <c r="E28" s="111"/>
      <c r="F28" s="111"/>
      <c r="G28" s="111"/>
      <c r="H28" s="111"/>
      <c r="I28" s="111"/>
      <c r="J28" s="111"/>
      <c r="K28" s="111"/>
      <c r="L28" s="111"/>
    </row>
    <row r="29" spans="1:12" ht="42" customHeight="1" x14ac:dyDescent="0.25">
      <c r="A29" s="6" t="s">
        <v>18</v>
      </c>
      <c r="B29" s="107" t="s">
        <v>26</v>
      </c>
      <c r="C29" s="107"/>
      <c r="D29" s="107"/>
      <c r="E29" s="107"/>
      <c r="F29" s="107"/>
      <c r="G29" s="107"/>
      <c r="H29" s="107"/>
      <c r="I29" s="107"/>
      <c r="J29" s="107"/>
      <c r="K29" s="107"/>
      <c r="L29" s="107"/>
    </row>
    <row r="30" spans="1:12" ht="27" customHeight="1" x14ac:dyDescent="0.25">
      <c r="A30" s="7" t="s">
        <v>19</v>
      </c>
      <c r="B30" s="107" t="s">
        <v>27</v>
      </c>
      <c r="C30" s="107"/>
      <c r="D30" s="107"/>
      <c r="E30" s="107"/>
      <c r="F30" s="107"/>
      <c r="G30" s="107"/>
      <c r="H30" s="107"/>
      <c r="I30" s="107"/>
      <c r="J30" s="107"/>
      <c r="K30" s="107"/>
      <c r="L30" s="107"/>
    </row>
    <row r="31" spans="1:12" ht="30.75" customHeight="1" x14ac:dyDescent="0.25">
      <c r="A31" s="7" t="s">
        <v>20</v>
      </c>
      <c r="B31" s="107" t="s">
        <v>37</v>
      </c>
      <c r="C31" s="107"/>
      <c r="D31" s="107"/>
      <c r="E31" s="107"/>
      <c r="F31" s="107"/>
      <c r="G31" s="107"/>
      <c r="H31" s="107"/>
      <c r="I31" s="107"/>
      <c r="J31" s="107"/>
      <c r="K31" s="107"/>
      <c r="L31" s="107"/>
    </row>
    <row r="32" spans="1:12" ht="23.25" customHeight="1" x14ac:dyDescent="0.25">
      <c r="A32" s="7" t="s">
        <v>21</v>
      </c>
      <c r="B32" s="107" t="s">
        <v>30</v>
      </c>
      <c r="C32" s="107"/>
      <c r="D32" s="107"/>
      <c r="E32" s="107"/>
      <c r="F32" s="107"/>
      <c r="G32" s="107"/>
      <c r="H32" s="107"/>
      <c r="I32" s="107"/>
      <c r="J32" s="107"/>
      <c r="K32" s="107"/>
      <c r="L32" s="107"/>
    </row>
    <row r="33" spans="1:12" ht="15.75" customHeight="1" x14ac:dyDescent="0.25">
      <c r="A33" s="7" t="s">
        <v>28</v>
      </c>
      <c r="B33" s="107" t="s">
        <v>29</v>
      </c>
      <c r="C33" s="107"/>
      <c r="D33" s="107"/>
      <c r="E33" s="107"/>
      <c r="F33" s="107"/>
      <c r="G33" s="107"/>
      <c r="H33" s="107"/>
      <c r="I33" s="107"/>
      <c r="J33" s="107"/>
      <c r="K33" s="107"/>
      <c r="L33" s="107"/>
    </row>
    <row r="34" spans="1:12" ht="15" customHeight="1" x14ac:dyDescent="0.25">
      <c r="A34" s="144"/>
      <c r="B34" s="145"/>
      <c r="C34" s="145"/>
      <c r="D34" s="145"/>
      <c r="E34" s="145"/>
      <c r="F34" s="145"/>
      <c r="G34" s="145"/>
      <c r="H34" s="145"/>
      <c r="I34" s="145"/>
      <c r="J34" s="145"/>
      <c r="K34" s="145"/>
      <c r="L34" s="145"/>
    </row>
    <row r="35" spans="1:12" ht="15" customHeight="1" x14ac:dyDescent="0.25">
      <c r="A35" s="111" t="s">
        <v>23</v>
      </c>
      <c r="B35" s="111"/>
      <c r="C35" s="111"/>
      <c r="D35" s="111"/>
      <c r="E35" s="111"/>
      <c r="F35" s="111"/>
      <c r="G35" s="111"/>
      <c r="H35" s="111"/>
      <c r="I35" s="111"/>
      <c r="J35" s="111"/>
      <c r="K35" s="111"/>
      <c r="L35" s="111"/>
    </row>
    <row r="36" spans="1:12" ht="15" customHeight="1" x14ac:dyDescent="0.25">
      <c r="A36" s="138" t="s">
        <v>31</v>
      </c>
      <c r="B36" s="138"/>
      <c r="C36" s="138"/>
      <c r="D36" s="138"/>
      <c r="E36" s="138"/>
      <c r="F36" s="138"/>
      <c r="G36" s="138"/>
      <c r="H36" s="138"/>
      <c r="I36" s="138"/>
      <c r="J36" s="138"/>
      <c r="K36" s="138"/>
      <c r="L36" s="138"/>
    </row>
    <row r="37" spans="1:12" ht="15" customHeight="1" x14ac:dyDescent="0.25">
      <c r="A37" s="129"/>
      <c r="B37" s="130"/>
      <c r="C37" s="130"/>
      <c r="D37" s="130"/>
      <c r="E37" s="130"/>
      <c r="F37" s="130"/>
      <c r="G37" s="130"/>
      <c r="H37" s="131"/>
      <c r="I37" s="131"/>
      <c r="J37" s="131"/>
      <c r="K37" s="131"/>
      <c r="L37" s="131"/>
    </row>
    <row r="38" spans="1:12" ht="15" customHeight="1" x14ac:dyDescent="0.25">
      <c r="A38" s="139" t="s">
        <v>16</v>
      </c>
      <c r="B38" s="140"/>
      <c r="C38" s="140"/>
      <c r="D38" s="140"/>
      <c r="E38" s="140"/>
      <c r="F38" s="140"/>
      <c r="G38" s="141"/>
      <c r="H38" s="123" t="s">
        <v>17</v>
      </c>
      <c r="I38" s="123"/>
      <c r="J38" s="123"/>
      <c r="K38" s="123"/>
      <c r="L38" s="123"/>
    </row>
    <row r="39" spans="1:12" ht="86.25" customHeight="1" x14ac:dyDescent="0.25">
      <c r="A39" s="142"/>
      <c r="B39" s="143"/>
      <c r="C39" s="143"/>
      <c r="D39" s="143"/>
      <c r="E39" s="143"/>
      <c r="F39" s="143"/>
      <c r="G39" s="143"/>
      <c r="H39" s="124"/>
      <c r="I39" s="125"/>
      <c r="J39" s="125"/>
      <c r="K39" s="125"/>
      <c r="L39" s="126"/>
    </row>
    <row r="40" spans="1:12" ht="15" customHeight="1" x14ac:dyDescent="0.25">
      <c r="A40" s="121" t="s">
        <v>143</v>
      </c>
      <c r="B40" s="122"/>
      <c r="C40" s="122"/>
      <c r="D40" s="122"/>
      <c r="E40" s="122"/>
      <c r="F40" s="122"/>
      <c r="G40" s="122"/>
      <c r="H40" s="135" t="s">
        <v>72</v>
      </c>
      <c r="I40" s="136"/>
      <c r="J40" s="136"/>
      <c r="K40" s="136"/>
      <c r="L40" s="137"/>
    </row>
    <row r="41" spans="1:12" ht="15" customHeight="1" x14ac:dyDescent="0.25">
      <c r="A41" s="127" t="s">
        <v>144</v>
      </c>
      <c r="B41" s="128"/>
      <c r="C41" s="128"/>
      <c r="D41" s="128"/>
      <c r="E41" s="128"/>
      <c r="F41" s="128"/>
      <c r="G41" s="128"/>
      <c r="H41" s="132" t="s">
        <v>71</v>
      </c>
      <c r="I41" s="133"/>
      <c r="J41" s="133"/>
      <c r="K41" s="133"/>
      <c r="L41" s="134"/>
    </row>
    <row r="42" spans="1:12" ht="15" customHeight="1" x14ac:dyDescent="0.25">
      <c r="A42" s="1"/>
      <c r="B42" s="1"/>
      <c r="C42" s="1"/>
      <c r="D42" s="1"/>
      <c r="E42" s="1"/>
      <c r="F42" s="1"/>
      <c r="G42" s="1"/>
      <c r="H42" s="1"/>
      <c r="I42" s="1"/>
      <c r="J42" s="1"/>
      <c r="K42" s="1"/>
    </row>
  </sheetData>
  <mergeCells count="80">
    <mergeCell ref="J21:J22"/>
    <mergeCell ref="J17:K17"/>
    <mergeCell ref="K21:K22"/>
    <mergeCell ref="J18:K18"/>
    <mergeCell ref="A18:C20"/>
    <mergeCell ref="D19:E19"/>
    <mergeCell ref="F21:F22"/>
    <mergeCell ref="G21:G22"/>
    <mergeCell ref="D18:E18"/>
    <mergeCell ref="A10:L10"/>
    <mergeCell ref="H18:I18"/>
    <mergeCell ref="L13:L20"/>
    <mergeCell ref="J13:K13"/>
    <mergeCell ref="J15:K15"/>
    <mergeCell ref="J14:K14"/>
    <mergeCell ref="D15:E15"/>
    <mergeCell ref="H19:I19"/>
    <mergeCell ref="J12:K12"/>
    <mergeCell ref="H12:I12"/>
    <mergeCell ref="H15:I15"/>
    <mergeCell ref="H16:I16"/>
    <mergeCell ref="D12:E12"/>
    <mergeCell ref="F19:G19"/>
    <mergeCell ref="F18:G18"/>
    <mergeCell ref="F12:G12"/>
    <mergeCell ref="A1:L1"/>
    <mergeCell ref="A2:L2"/>
    <mergeCell ref="A8:B8"/>
    <mergeCell ref="K4:L4"/>
    <mergeCell ref="I6:J6"/>
    <mergeCell ref="C8:H8"/>
    <mergeCell ref="K6:L6"/>
    <mergeCell ref="I8:J8"/>
    <mergeCell ref="K8:L8"/>
    <mergeCell ref="A3:L3"/>
    <mergeCell ref="B33:L33"/>
    <mergeCell ref="A35:L35"/>
    <mergeCell ref="A36:L36"/>
    <mergeCell ref="A38:G38"/>
    <mergeCell ref="A39:G39"/>
    <mergeCell ref="A34:L34"/>
    <mergeCell ref="A40:G40"/>
    <mergeCell ref="H38:L38"/>
    <mergeCell ref="H39:L39"/>
    <mergeCell ref="A41:G41"/>
    <mergeCell ref="A37:L37"/>
    <mergeCell ref="H41:L41"/>
    <mergeCell ref="H40:L40"/>
    <mergeCell ref="D13:E13"/>
    <mergeCell ref="D16:E16"/>
    <mergeCell ref="B32:L32"/>
    <mergeCell ref="A24:K24"/>
    <mergeCell ref="A25:K25"/>
    <mergeCell ref="B30:L30"/>
    <mergeCell ref="B31:L31"/>
    <mergeCell ref="B29:L29"/>
    <mergeCell ref="A28:L28"/>
    <mergeCell ref="A27:L27"/>
    <mergeCell ref="A26:K26"/>
    <mergeCell ref="L21:L22"/>
    <mergeCell ref="A21:C22"/>
    <mergeCell ref="D21:D22"/>
    <mergeCell ref="F17:G17"/>
    <mergeCell ref="D20:E20"/>
    <mergeCell ref="J16:K16"/>
    <mergeCell ref="H13:I13"/>
    <mergeCell ref="H14:I14"/>
    <mergeCell ref="J19:K19"/>
    <mergeCell ref="B23:C23"/>
    <mergeCell ref="E21:E22"/>
    <mergeCell ref="H21:H22"/>
    <mergeCell ref="I21:I22"/>
    <mergeCell ref="H17:I17"/>
    <mergeCell ref="A12:C17"/>
    <mergeCell ref="F16:G16"/>
    <mergeCell ref="F13:G13"/>
    <mergeCell ref="F15:G15"/>
    <mergeCell ref="F14:G14"/>
    <mergeCell ref="D17:E17"/>
    <mergeCell ref="D14:E14"/>
  </mergeCells>
  <hyperlinks>
    <hyperlink ref="F17" r:id="rId1" xr:uid="{E1D78297-6544-41DE-9A18-DC1AAAA12D88}"/>
    <hyperlink ref="H17" r:id="rId2" xr:uid="{C3FC5642-7A1E-43C5-9756-DA2EBD288BF0}"/>
    <hyperlink ref="J17" r:id="rId3" xr:uid="{463BE26E-B573-46C7-86DA-D98B817BBDA2}"/>
  </hyperlinks>
  <pageMargins left="0.62992125984251968" right="0.23622047244094491" top="0.35433070866141736" bottom="0.35433070866141736" header="0" footer="0"/>
  <pageSetup paperSize="119" scale="72"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24"/>
  <sheetViews>
    <sheetView showGridLines="0" tabSelected="1" topLeftCell="A5" zoomScaleNormal="100" workbookViewId="0">
      <selection activeCell="P19" sqref="P19"/>
    </sheetView>
  </sheetViews>
  <sheetFormatPr baseColWidth="10" defaultRowHeight="15" x14ac:dyDescent="0.25"/>
  <cols>
    <col min="1" max="4" width="10" customWidth="1"/>
    <col min="5" max="8" width="10.140625" customWidth="1"/>
    <col min="9" max="9" width="2.85546875" customWidth="1"/>
    <col min="10" max="10" width="8" customWidth="1"/>
    <col min="11" max="13" width="7.85546875" customWidth="1"/>
    <col min="14" max="15" width="8" customWidth="1"/>
  </cols>
  <sheetData>
    <row r="1" spans="1:15" ht="25.5" customHeight="1" x14ac:dyDescent="0.25">
      <c r="A1" s="156" t="s">
        <v>66</v>
      </c>
      <c r="B1" s="156"/>
      <c r="C1" s="156"/>
      <c r="D1" s="156"/>
      <c r="E1" s="156"/>
      <c r="F1" s="156"/>
      <c r="G1" s="156"/>
      <c r="H1" s="156"/>
      <c r="I1" s="156"/>
      <c r="J1" s="156"/>
      <c r="K1" s="156"/>
      <c r="L1" s="156"/>
      <c r="M1" s="156"/>
      <c r="N1" s="156"/>
      <c r="O1" s="156"/>
    </row>
    <row r="2" spans="1:15" ht="53.25" customHeight="1" x14ac:dyDescent="0.25">
      <c r="A2" s="83"/>
      <c r="B2" s="83"/>
      <c r="C2" s="83"/>
      <c r="D2" s="191" t="s">
        <v>40</v>
      </c>
      <c r="E2" s="191"/>
      <c r="F2" s="191"/>
      <c r="G2" s="191"/>
      <c r="H2" s="191"/>
      <c r="I2" s="10"/>
      <c r="J2" s="184" t="str">
        <f>'Estudio de Mercado'!F12</f>
        <v xml:space="preserve">DISTRIBUIDORA DE FARMACOS Y FRAGANCIAS S.A. DE C.V. </v>
      </c>
      <c r="K2" s="184"/>
      <c r="L2" s="184" t="str">
        <f>'Estudio de Mercado'!H12</f>
        <v>DOLORES MAGDALENA ROSALES ROJAS</v>
      </c>
      <c r="M2" s="184"/>
      <c r="N2" s="184" t="str">
        <f>'Estudio de Mercado'!J12</f>
        <v>DIPROGYN</v>
      </c>
      <c r="O2" s="184"/>
    </row>
    <row r="3" spans="1:15" x14ac:dyDescent="0.25">
      <c r="A3" s="83"/>
      <c r="B3" s="83"/>
      <c r="C3" s="83"/>
      <c r="D3" s="83"/>
      <c r="E3" s="80"/>
      <c r="F3" s="80"/>
      <c r="G3" s="81"/>
      <c r="H3" s="82"/>
      <c r="I3" s="82"/>
      <c r="J3" s="185"/>
      <c r="K3" s="185"/>
      <c r="L3" s="84"/>
      <c r="M3" s="85"/>
      <c r="N3" s="185"/>
      <c r="O3" s="185"/>
    </row>
    <row r="4" spans="1:15" ht="15" customHeight="1" x14ac:dyDescent="0.25">
      <c r="A4" s="79"/>
      <c r="B4" s="79"/>
      <c r="C4" s="79"/>
      <c r="D4" s="80"/>
      <c r="E4" s="80"/>
      <c r="F4" s="80"/>
      <c r="G4" s="81"/>
      <c r="H4" s="82"/>
      <c r="I4" s="82"/>
      <c r="J4" s="181" t="s">
        <v>41</v>
      </c>
      <c r="K4" s="182"/>
      <c r="L4" s="181" t="s">
        <v>42</v>
      </c>
      <c r="M4" s="182"/>
      <c r="N4" s="181" t="s">
        <v>43</v>
      </c>
      <c r="O4" s="182"/>
    </row>
    <row r="5" spans="1:15" ht="29.25" customHeight="1" x14ac:dyDescent="0.25">
      <c r="A5" s="183" t="s">
        <v>44</v>
      </c>
      <c r="B5" s="183"/>
      <c r="C5" s="183"/>
      <c r="D5" s="183"/>
      <c r="E5" s="183"/>
      <c r="F5" s="183"/>
      <c r="G5" s="183"/>
      <c r="H5" s="183"/>
      <c r="I5" s="183"/>
      <c r="J5" s="183"/>
      <c r="K5" s="183"/>
      <c r="L5" s="183"/>
      <c r="M5" s="183"/>
      <c r="N5" s="183"/>
      <c r="O5" s="183"/>
    </row>
    <row r="6" spans="1:15" ht="15" customHeight="1" x14ac:dyDescent="0.25">
      <c r="A6" s="190" t="s">
        <v>45</v>
      </c>
      <c r="B6" s="190"/>
      <c r="C6" s="190"/>
      <c r="D6" s="190"/>
      <c r="E6" s="190"/>
      <c r="F6" s="190"/>
      <c r="G6" s="190"/>
      <c r="H6" s="190"/>
      <c r="I6" s="190"/>
      <c r="J6" s="190"/>
      <c r="K6" s="190"/>
      <c r="L6" s="190"/>
      <c r="M6" s="190"/>
      <c r="N6" s="190"/>
      <c r="O6" s="190"/>
    </row>
    <row r="7" spans="1:15" ht="15" customHeight="1" x14ac:dyDescent="0.25">
      <c r="A7" s="186" t="s">
        <v>46</v>
      </c>
      <c r="B7" s="187"/>
      <c r="C7" s="187"/>
      <c r="D7" s="187"/>
      <c r="E7" s="187"/>
      <c r="F7" s="187"/>
      <c r="G7" s="187"/>
      <c r="H7" s="187"/>
      <c r="I7" s="225"/>
      <c r="J7" s="188" t="s">
        <v>56</v>
      </c>
      <c r="K7" s="189"/>
      <c r="L7" s="188" t="s">
        <v>56</v>
      </c>
      <c r="M7" s="189"/>
      <c r="N7" s="188" t="s">
        <v>56</v>
      </c>
      <c r="O7" s="189"/>
    </row>
    <row r="8" spans="1:15" ht="15" customHeight="1" x14ac:dyDescent="0.25">
      <c r="A8" s="186" t="s">
        <v>48</v>
      </c>
      <c r="B8" s="187"/>
      <c r="C8" s="187"/>
      <c r="D8" s="187"/>
      <c r="E8" s="187"/>
      <c r="F8" s="187"/>
      <c r="G8" s="187"/>
      <c r="H8" s="187"/>
      <c r="I8" s="225"/>
      <c r="J8" s="188" t="s">
        <v>47</v>
      </c>
      <c r="K8" s="189"/>
      <c r="L8" s="188" t="s">
        <v>56</v>
      </c>
      <c r="M8" s="189"/>
      <c r="N8" s="188" t="s">
        <v>47</v>
      </c>
      <c r="O8" s="189"/>
    </row>
    <row r="9" spans="1:15" ht="15" customHeight="1" x14ac:dyDescent="0.25">
      <c r="A9" s="186" t="s">
        <v>49</v>
      </c>
      <c r="B9" s="187"/>
      <c r="C9" s="187"/>
      <c r="D9" s="187"/>
      <c r="E9" s="187"/>
      <c r="F9" s="187"/>
      <c r="G9" s="187"/>
      <c r="H9" s="187"/>
      <c r="I9" s="225"/>
      <c r="J9" s="188" t="s">
        <v>56</v>
      </c>
      <c r="K9" s="189"/>
      <c r="L9" s="188" t="s">
        <v>56</v>
      </c>
      <c r="M9" s="189"/>
      <c r="N9" s="188" t="s">
        <v>56</v>
      </c>
      <c r="O9" s="189"/>
    </row>
    <row r="10" spans="1:15" ht="15" customHeight="1" x14ac:dyDescent="0.25">
      <c r="A10" s="186" t="s">
        <v>50</v>
      </c>
      <c r="B10" s="187"/>
      <c r="C10" s="187"/>
      <c r="D10" s="187"/>
      <c r="E10" s="187"/>
      <c r="F10" s="187"/>
      <c r="G10" s="187"/>
      <c r="H10" s="187"/>
      <c r="I10" s="225"/>
      <c r="J10" s="188" t="s">
        <v>56</v>
      </c>
      <c r="K10" s="189"/>
      <c r="L10" s="188" t="s">
        <v>56</v>
      </c>
      <c r="M10" s="189"/>
      <c r="N10" s="188" t="s">
        <v>56</v>
      </c>
      <c r="O10" s="189"/>
    </row>
    <row r="11" spans="1:15" ht="15" customHeight="1" x14ac:dyDescent="0.25">
      <c r="A11" s="186" t="s">
        <v>51</v>
      </c>
      <c r="B11" s="187"/>
      <c r="C11" s="187"/>
      <c r="D11" s="187"/>
      <c r="E11" s="187"/>
      <c r="F11" s="187"/>
      <c r="G11" s="187"/>
      <c r="H11" s="187"/>
      <c r="I11" s="225"/>
      <c r="J11" s="188" t="s">
        <v>56</v>
      </c>
      <c r="K11" s="189"/>
      <c r="L11" s="188" t="s">
        <v>56</v>
      </c>
      <c r="M11" s="189"/>
      <c r="N11" s="188" t="s">
        <v>56</v>
      </c>
      <c r="O11" s="189"/>
    </row>
    <row r="12" spans="1:15" ht="15" customHeight="1" x14ac:dyDescent="0.25">
      <c r="A12" s="186" t="s">
        <v>52</v>
      </c>
      <c r="B12" s="187"/>
      <c r="C12" s="187"/>
      <c r="D12" s="187"/>
      <c r="E12" s="187"/>
      <c r="F12" s="187"/>
      <c r="G12" s="187"/>
      <c r="H12" s="187"/>
      <c r="I12" s="225"/>
      <c r="J12" s="188" t="s">
        <v>56</v>
      </c>
      <c r="K12" s="189"/>
      <c r="L12" s="188" t="s">
        <v>56</v>
      </c>
      <c r="M12" s="189"/>
      <c r="N12" s="188" t="s">
        <v>56</v>
      </c>
      <c r="O12" s="189"/>
    </row>
    <row r="13" spans="1:15" ht="24" customHeight="1" x14ac:dyDescent="0.25">
      <c r="A13" s="186" t="s">
        <v>53</v>
      </c>
      <c r="B13" s="187"/>
      <c r="C13" s="187"/>
      <c r="D13" s="187"/>
      <c r="E13" s="187"/>
      <c r="F13" s="187"/>
      <c r="G13" s="187"/>
      <c r="H13" s="187"/>
      <c r="I13" s="225"/>
      <c r="J13" s="188" t="s">
        <v>47</v>
      </c>
      <c r="K13" s="189"/>
      <c r="L13" s="188" t="s">
        <v>47</v>
      </c>
      <c r="M13" s="189"/>
      <c r="N13" s="188" t="s">
        <v>47</v>
      </c>
      <c r="O13" s="189"/>
    </row>
    <row r="14" spans="1:15" ht="23.25" customHeight="1" x14ac:dyDescent="0.25">
      <c r="A14" s="186" t="s">
        <v>54</v>
      </c>
      <c r="B14" s="187"/>
      <c r="C14" s="187"/>
      <c r="D14" s="187"/>
      <c r="E14" s="187"/>
      <c r="F14" s="187"/>
      <c r="G14" s="187"/>
      <c r="H14" s="187"/>
      <c r="I14" s="225"/>
      <c r="J14" s="188" t="s">
        <v>47</v>
      </c>
      <c r="K14" s="189"/>
      <c r="L14" s="188" t="s">
        <v>47</v>
      </c>
      <c r="M14" s="189"/>
      <c r="N14" s="188" t="s">
        <v>47</v>
      </c>
      <c r="O14" s="189"/>
    </row>
    <row r="15" spans="1:15" ht="21.75" customHeight="1" x14ac:dyDescent="0.25">
      <c r="A15" s="186" t="s">
        <v>55</v>
      </c>
      <c r="B15" s="187"/>
      <c r="C15" s="187"/>
      <c r="D15" s="187"/>
      <c r="E15" s="187"/>
      <c r="F15" s="187"/>
      <c r="G15" s="187"/>
      <c r="H15" s="187"/>
      <c r="I15" s="225"/>
      <c r="J15" s="188" t="s">
        <v>56</v>
      </c>
      <c r="K15" s="189"/>
      <c r="L15" s="188" t="s">
        <v>56</v>
      </c>
      <c r="M15" s="189"/>
      <c r="N15" s="188" t="s">
        <v>56</v>
      </c>
      <c r="O15" s="189"/>
    </row>
    <row r="16" spans="1:15" ht="15" customHeight="1" x14ac:dyDescent="0.25">
      <c r="A16" s="186" t="s">
        <v>57</v>
      </c>
      <c r="B16" s="187"/>
      <c r="C16" s="187"/>
      <c r="D16" s="187"/>
      <c r="E16" s="187"/>
      <c r="F16" s="187"/>
      <c r="G16" s="187"/>
      <c r="H16" s="187"/>
      <c r="I16" s="225"/>
      <c r="J16" s="188" t="s">
        <v>47</v>
      </c>
      <c r="K16" s="189"/>
      <c r="L16" s="188" t="s">
        <v>47</v>
      </c>
      <c r="M16" s="189"/>
      <c r="N16" s="188" t="s">
        <v>47</v>
      </c>
      <c r="O16" s="189"/>
    </row>
    <row r="17" spans="1:15" ht="15" customHeight="1" x14ac:dyDescent="0.25">
      <c r="A17" s="186" t="s">
        <v>58</v>
      </c>
      <c r="B17" s="187"/>
      <c r="C17" s="187"/>
      <c r="D17" s="187"/>
      <c r="E17" s="187"/>
      <c r="F17" s="187"/>
      <c r="G17" s="187"/>
      <c r="H17" s="187"/>
      <c r="I17" s="225"/>
      <c r="J17" s="188" t="s">
        <v>47</v>
      </c>
      <c r="K17" s="189"/>
      <c r="L17" s="188" t="s">
        <v>47</v>
      </c>
      <c r="M17" s="189"/>
      <c r="N17" s="188" t="s">
        <v>47</v>
      </c>
      <c r="O17" s="189"/>
    </row>
    <row r="18" spans="1:15" ht="15" customHeight="1" x14ac:dyDescent="0.25">
      <c r="A18" s="186" t="s">
        <v>59</v>
      </c>
      <c r="B18" s="187"/>
      <c r="C18" s="187"/>
      <c r="D18" s="187"/>
      <c r="E18" s="187"/>
      <c r="F18" s="187"/>
      <c r="G18" s="187"/>
      <c r="H18" s="187"/>
      <c r="I18" s="225"/>
      <c r="J18" s="188" t="s">
        <v>47</v>
      </c>
      <c r="K18" s="189"/>
      <c r="L18" s="188" t="s">
        <v>47</v>
      </c>
      <c r="M18" s="189"/>
      <c r="N18" s="188" t="s">
        <v>47</v>
      </c>
      <c r="O18" s="189"/>
    </row>
    <row r="19" spans="1:15" ht="21.75" customHeight="1" x14ac:dyDescent="0.25">
      <c r="A19" s="186" t="s">
        <v>60</v>
      </c>
      <c r="B19" s="187"/>
      <c r="C19" s="187"/>
      <c r="D19" s="187"/>
      <c r="E19" s="187"/>
      <c r="F19" s="187"/>
      <c r="G19" s="187"/>
      <c r="H19" s="187"/>
      <c r="I19" s="225"/>
      <c r="J19" s="188" t="s">
        <v>47</v>
      </c>
      <c r="K19" s="189"/>
      <c r="L19" s="188" t="s">
        <v>47</v>
      </c>
      <c r="M19" s="189"/>
      <c r="N19" s="188" t="s">
        <v>47</v>
      </c>
      <c r="O19" s="189"/>
    </row>
    <row r="20" spans="1:15" ht="15" customHeight="1" x14ac:dyDescent="0.25">
      <c r="A20" s="186" t="s">
        <v>61</v>
      </c>
      <c r="B20" s="187"/>
      <c r="C20" s="187"/>
      <c r="D20" s="187"/>
      <c r="E20" s="187"/>
      <c r="F20" s="187"/>
      <c r="G20" s="187"/>
      <c r="H20" s="187"/>
      <c r="I20" s="225"/>
      <c r="J20" s="188" t="s">
        <v>47</v>
      </c>
      <c r="K20" s="189"/>
      <c r="L20" s="188" t="s">
        <v>47</v>
      </c>
      <c r="M20" s="189"/>
      <c r="N20" s="188" t="s">
        <v>47</v>
      </c>
      <c r="O20" s="189"/>
    </row>
    <row r="21" spans="1:15" ht="15" customHeight="1" x14ac:dyDescent="0.25">
      <c r="A21" s="186" t="s">
        <v>62</v>
      </c>
      <c r="B21" s="187"/>
      <c r="C21" s="187"/>
      <c r="D21" s="187"/>
      <c r="E21" s="187"/>
      <c r="F21" s="187"/>
      <c r="G21" s="187"/>
      <c r="H21" s="187"/>
      <c r="I21" s="225"/>
      <c r="J21" s="188" t="s">
        <v>47</v>
      </c>
      <c r="K21" s="189"/>
      <c r="L21" s="188" t="s">
        <v>47</v>
      </c>
      <c r="M21" s="189"/>
      <c r="N21" s="188" t="s">
        <v>47</v>
      </c>
      <c r="O21" s="189"/>
    </row>
    <row r="22" spans="1:15" ht="15" customHeight="1" x14ac:dyDescent="0.25">
      <c r="A22" s="186" t="s">
        <v>63</v>
      </c>
      <c r="B22" s="187"/>
      <c r="C22" s="187"/>
      <c r="D22" s="187"/>
      <c r="E22" s="187"/>
      <c r="F22" s="187"/>
      <c r="G22" s="187"/>
      <c r="H22" s="187"/>
      <c r="I22" s="225"/>
      <c r="J22" s="188" t="s">
        <v>56</v>
      </c>
      <c r="K22" s="189"/>
      <c r="L22" s="188" t="s">
        <v>56</v>
      </c>
      <c r="M22" s="189"/>
      <c r="N22" s="188" t="s">
        <v>56</v>
      </c>
      <c r="O22" s="189"/>
    </row>
    <row r="23" spans="1:15" ht="15" customHeight="1" x14ac:dyDescent="0.25">
      <c r="A23" s="186" t="s">
        <v>64</v>
      </c>
      <c r="B23" s="187"/>
      <c r="C23" s="187"/>
      <c r="D23" s="187"/>
      <c r="E23" s="187"/>
      <c r="F23" s="187"/>
      <c r="G23" s="187"/>
      <c r="H23" s="187"/>
      <c r="I23" s="225"/>
      <c r="J23" s="192" t="s">
        <v>65</v>
      </c>
      <c r="K23" s="192"/>
      <c r="L23" s="192"/>
      <c r="M23" s="192"/>
      <c r="N23" s="192"/>
      <c r="O23" s="192"/>
    </row>
    <row r="24" spans="1:15" x14ac:dyDescent="0.25">
      <c r="A24" s="9"/>
      <c r="B24" s="9"/>
      <c r="C24" s="9"/>
      <c r="D24" s="9"/>
      <c r="E24" s="9"/>
      <c r="F24" s="9"/>
      <c r="G24" s="9"/>
      <c r="H24" s="9"/>
      <c r="I24" s="9"/>
      <c r="J24" s="9"/>
      <c r="K24" s="9"/>
      <c r="L24" s="9"/>
      <c r="M24" s="9"/>
      <c r="N24" s="9"/>
      <c r="O24" s="9"/>
    </row>
  </sheetData>
  <mergeCells count="78">
    <mergeCell ref="A19:H19"/>
    <mergeCell ref="J19:K19"/>
    <mergeCell ref="L19:M19"/>
    <mergeCell ref="N19:O19"/>
    <mergeCell ref="A23:H23"/>
    <mergeCell ref="J23:O23"/>
    <mergeCell ref="A21:H21"/>
    <mergeCell ref="J21:K21"/>
    <mergeCell ref="L21:M21"/>
    <mergeCell ref="N21:O21"/>
    <mergeCell ref="A22:H22"/>
    <mergeCell ref="J22:K22"/>
    <mergeCell ref="L22:M22"/>
    <mergeCell ref="N22:O22"/>
    <mergeCell ref="A17:H17"/>
    <mergeCell ref="J17:K17"/>
    <mergeCell ref="L17:M17"/>
    <mergeCell ref="N17:O17"/>
    <mergeCell ref="A18:H18"/>
    <mergeCell ref="J18:K18"/>
    <mergeCell ref="L18:M18"/>
    <mergeCell ref="N18:O18"/>
    <mergeCell ref="A6:O6"/>
    <mergeCell ref="D2:H2"/>
    <mergeCell ref="A20:H20"/>
    <mergeCell ref="J20:K20"/>
    <mergeCell ref="L20:M20"/>
    <mergeCell ref="N20:O20"/>
    <mergeCell ref="A15:H15"/>
    <mergeCell ref="J15:K15"/>
    <mergeCell ref="L15:M15"/>
    <mergeCell ref="N15:O15"/>
    <mergeCell ref="A16:H16"/>
    <mergeCell ref="J16:K16"/>
    <mergeCell ref="L16:M16"/>
    <mergeCell ref="N16:O16"/>
    <mergeCell ref="A13:H13"/>
    <mergeCell ref="J13:K13"/>
    <mergeCell ref="L13:M13"/>
    <mergeCell ref="N13:O13"/>
    <mergeCell ref="A14:H14"/>
    <mergeCell ref="J14:K14"/>
    <mergeCell ref="L14:M14"/>
    <mergeCell ref="N14:O14"/>
    <mergeCell ref="A11:H11"/>
    <mergeCell ref="J11:K11"/>
    <mergeCell ref="L11:M11"/>
    <mergeCell ref="N11:O11"/>
    <mergeCell ref="A12:H12"/>
    <mergeCell ref="J12:K12"/>
    <mergeCell ref="L12:M12"/>
    <mergeCell ref="N12:O12"/>
    <mergeCell ref="A9:H9"/>
    <mergeCell ref="J9:K9"/>
    <mergeCell ref="L9:M9"/>
    <mergeCell ref="N9:O9"/>
    <mergeCell ref="A10:H10"/>
    <mergeCell ref="J10:K10"/>
    <mergeCell ref="L10:M10"/>
    <mergeCell ref="N10:O10"/>
    <mergeCell ref="A7:H7"/>
    <mergeCell ref="J7:K7"/>
    <mergeCell ref="L7:M7"/>
    <mergeCell ref="N7:O7"/>
    <mergeCell ref="A8:H8"/>
    <mergeCell ref="J8:K8"/>
    <mergeCell ref="L8:M8"/>
    <mergeCell ref="N8:O8"/>
    <mergeCell ref="A1:O1"/>
    <mergeCell ref="J4:K4"/>
    <mergeCell ref="L4:M4"/>
    <mergeCell ref="N4:O4"/>
    <mergeCell ref="A5:O5"/>
    <mergeCell ref="J2:K2"/>
    <mergeCell ref="L2:M2"/>
    <mergeCell ref="N2:O2"/>
    <mergeCell ref="J3:K3"/>
    <mergeCell ref="N3:O3"/>
  </mergeCells>
  <pageMargins left="0.7" right="0.7" top="0.75" bottom="0.75" header="0.3" footer="0.3"/>
  <pageSetup scale="9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FA66-A98D-4B8A-80A9-9B0940F47015}">
  <dimension ref="A1:M73"/>
  <sheetViews>
    <sheetView showGridLines="0" showWhiteSpace="0" topLeftCell="A23" zoomScale="124" zoomScaleNormal="124" workbookViewId="0">
      <selection activeCell="M62" sqref="M62"/>
    </sheetView>
  </sheetViews>
  <sheetFormatPr baseColWidth="10" defaultRowHeight="18.75" x14ac:dyDescent="0.3"/>
  <cols>
    <col min="1" max="1" width="5.140625" style="14" customWidth="1"/>
    <col min="2" max="2" width="15.42578125" style="14" customWidth="1"/>
    <col min="3" max="3" width="26.28515625" style="14" customWidth="1"/>
    <col min="4" max="4" width="16.7109375" style="14" customWidth="1"/>
    <col min="5" max="5" width="17.42578125" style="15" customWidth="1"/>
    <col min="6" max="6" width="3.7109375" style="15" customWidth="1"/>
    <col min="7" max="7" width="4.5703125" style="16" customWidth="1"/>
    <col min="8" max="16384" width="11.42578125" style="14"/>
  </cols>
  <sheetData>
    <row r="1" spans="3:13" ht="15.75" customHeight="1" x14ac:dyDescent="0.3">
      <c r="C1" s="195" t="s">
        <v>73</v>
      </c>
      <c r="D1" s="196"/>
      <c r="E1" s="196"/>
      <c r="F1" s="196"/>
      <c r="H1" s="17"/>
      <c r="I1" s="17"/>
      <c r="J1" s="17"/>
      <c r="K1" s="17"/>
      <c r="L1" s="17"/>
      <c r="M1" s="17"/>
    </row>
    <row r="2" spans="3:13" ht="15" customHeight="1" x14ac:dyDescent="0.25">
      <c r="C2" s="197" t="s">
        <v>74</v>
      </c>
      <c r="D2" s="198"/>
      <c r="E2" s="198"/>
      <c r="F2" s="198"/>
      <c r="G2" s="198"/>
      <c r="H2" s="18"/>
      <c r="I2" s="18"/>
      <c r="J2" s="18"/>
      <c r="K2" s="18"/>
      <c r="L2" s="18"/>
      <c r="M2" s="18"/>
    </row>
    <row r="3" spans="3:13" ht="14.25" customHeight="1" x14ac:dyDescent="0.35">
      <c r="C3" s="19" t="s">
        <v>75</v>
      </c>
      <c r="D3" s="20"/>
      <c r="E3" s="20"/>
      <c r="F3" s="20"/>
      <c r="H3" s="24" t="s">
        <v>77</v>
      </c>
      <c r="I3" s="20"/>
      <c r="J3" s="20"/>
      <c r="K3" s="21"/>
      <c r="L3" s="20"/>
      <c r="M3" s="21"/>
    </row>
    <row r="4" spans="3:13" ht="7.5" customHeight="1" thickBot="1" x14ac:dyDescent="0.4">
      <c r="C4" s="22"/>
      <c r="D4" s="20"/>
      <c r="E4" s="20"/>
      <c r="F4" s="20"/>
      <c r="G4" s="14"/>
      <c r="H4" s="20"/>
      <c r="I4" s="20"/>
      <c r="J4" s="20"/>
      <c r="K4" s="21"/>
      <c r="L4" s="20"/>
      <c r="M4" s="21"/>
    </row>
    <row r="5" spans="3:13" ht="19.5" thickBot="1" x14ac:dyDescent="0.35">
      <c r="C5" s="199" t="s">
        <v>76</v>
      </c>
      <c r="D5" s="200"/>
      <c r="E5" s="16"/>
      <c r="F5" s="14"/>
      <c r="H5" s="26" t="s">
        <v>79</v>
      </c>
    </row>
    <row r="6" spans="3:13" ht="19.5" thickBot="1" x14ac:dyDescent="0.35">
      <c r="C6" s="25"/>
      <c r="D6" s="25"/>
      <c r="E6" s="16"/>
      <c r="F6" s="14"/>
    </row>
    <row r="7" spans="3:13" ht="19.5" thickBot="1" x14ac:dyDescent="0.35">
      <c r="C7" s="50" t="s">
        <v>78</v>
      </c>
      <c r="D7" s="23"/>
      <c r="E7" s="16"/>
      <c r="F7" s="14"/>
    </row>
    <row r="8" spans="3:13" ht="19.5" thickBot="1" x14ac:dyDescent="0.35">
      <c r="C8" s="25"/>
      <c r="D8" s="25"/>
      <c r="E8" s="16"/>
      <c r="F8" s="14"/>
    </row>
    <row r="9" spans="3:13" x14ac:dyDescent="0.3">
      <c r="C9" s="27" t="s">
        <v>80</v>
      </c>
      <c r="D9" s="51"/>
      <c r="E9" s="16"/>
      <c r="F9" s="14"/>
    </row>
    <row r="10" spans="3:13" x14ac:dyDescent="0.3">
      <c r="C10" s="28" t="s">
        <v>81</v>
      </c>
      <c r="D10" s="26"/>
      <c r="E10" s="16"/>
      <c r="F10" s="14"/>
    </row>
    <row r="11" spans="3:13" ht="19.5" thickBot="1" x14ac:dyDescent="0.35">
      <c r="C11" s="29" t="s">
        <v>134</v>
      </c>
      <c r="D11" s="52"/>
      <c r="E11" s="16"/>
      <c r="F11" s="14"/>
    </row>
    <row r="12" spans="3:13" ht="19.5" thickBot="1" x14ac:dyDescent="0.35">
      <c r="C12" s="15"/>
      <c r="D12" s="53"/>
      <c r="E12" s="16"/>
      <c r="F12" s="14"/>
    </row>
    <row r="13" spans="3:13" x14ac:dyDescent="0.3">
      <c r="C13" s="30" t="s">
        <v>82</v>
      </c>
      <c r="D13" s="31">
        <v>45833</v>
      </c>
      <c r="E13" s="16"/>
      <c r="F13" s="14"/>
    </row>
    <row r="14" spans="3:13" x14ac:dyDescent="0.3">
      <c r="C14" s="32" t="s">
        <v>83</v>
      </c>
      <c r="D14" s="33">
        <v>45833</v>
      </c>
      <c r="E14" s="34" t="str">
        <f>IF(D14="","",IF(D14&lt;D13,"Revisar fecha",""))</f>
        <v/>
      </c>
      <c r="F14" s="14"/>
    </row>
    <row r="15" spans="3:13" ht="32.25" x14ac:dyDescent="0.3">
      <c r="C15" s="32" t="s">
        <v>135</v>
      </c>
      <c r="D15" s="33">
        <v>45861</v>
      </c>
      <c r="E15" s="34" t="str">
        <f>IF(D15="","",IF(D15&lt;D13,"Revisar fecha",""))</f>
        <v/>
      </c>
      <c r="F15" s="14"/>
    </row>
    <row r="16" spans="3:13" x14ac:dyDescent="0.3">
      <c r="C16" s="32" t="s">
        <v>84</v>
      </c>
      <c r="D16" s="33">
        <v>45881</v>
      </c>
      <c r="E16" s="34" t="str">
        <f>IF(D16="","",IF(D16&lt;D14,"Revisar fecha",""))</f>
        <v/>
      </c>
      <c r="F16" s="14"/>
    </row>
    <row r="17" spans="2:7" x14ac:dyDescent="0.3">
      <c r="C17" s="32" t="s">
        <v>85</v>
      </c>
      <c r="D17" s="33">
        <v>45881</v>
      </c>
      <c r="E17" s="34" t="str">
        <f>IF(D17="","",IF(D17&lt;D14,"Revisar fecha",""))</f>
        <v/>
      </c>
      <c r="F17" s="14"/>
    </row>
    <row r="18" spans="2:7" x14ac:dyDescent="0.3">
      <c r="C18" s="32" t="s">
        <v>86</v>
      </c>
      <c r="D18" s="33">
        <v>45881</v>
      </c>
      <c r="E18" s="34" t="str">
        <f>IF(D18="","",IF(D18&lt;D14,"Revisar fecha",""))</f>
        <v/>
      </c>
      <c r="F18" s="14"/>
    </row>
    <row r="19" spans="2:7" ht="31.5" x14ac:dyDescent="0.3">
      <c r="C19" s="35" t="s">
        <v>87</v>
      </c>
      <c r="D19" s="33">
        <v>45882</v>
      </c>
      <c r="E19" s="36" t="str">
        <f>IF(D19="","",IF(D19&lt;(IF(D16&gt;D17,IF(D16&gt;D18,D16,D18),IF(D17&gt;D18,D17,D18))),"Revisar fecha",IF(D19&lt;D14,"Revisar Fecha","")))</f>
        <v/>
      </c>
      <c r="F19" s="14"/>
    </row>
    <row r="20" spans="2:7" ht="31.5" x14ac:dyDescent="0.3">
      <c r="C20" s="35" t="s">
        <v>88</v>
      </c>
      <c r="D20" s="33"/>
      <c r="E20" s="34" t="str">
        <f>IF(D20="","",IF(D20&lt;D19,"Revisar fecha",""))</f>
        <v/>
      </c>
      <c r="F20" s="14"/>
    </row>
    <row r="21" spans="2:7" x14ac:dyDescent="0.3">
      <c r="B21" s="54"/>
      <c r="C21" s="55" t="s">
        <v>136</v>
      </c>
      <c r="D21" s="33"/>
      <c r="E21" s="34" t="str">
        <f>IF(D21="","",IF(D21&lt;D20,"Revisar fecha",""))</f>
        <v/>
      </c>
      <c r="F21" s="14"/>
    </row>
    <row r="22" spans="2:7" x14ac:dyDescent="0.3">
      <c r="C22" s="32" t="s">
        <v>89</v>
      </c>
      <c r="D22" s="46"/>
      <c r="E22" s="34" t="str">
        <f>IF(D22="","",IF(D22&lt;D21,"Revisar fecha",""))</f>
        <v/>
      </c>
      <c r="F22" s="14"/>
    </row>
    <row r="23" spans="2:7" x14ac:dyDescent="0.3">
      <c r="C23" s="32" t="s">
        <v>137</v>
      </c>
      <c r="D23" s="46"/>
      <c r="E23" s="34" t="str">
        <f>IF(D23="","",IF(D23&lt;D22,"Revisar fecha",""))</f>
        <v/>
      </c>
      <c r="F23" s="14"/>
    </row>
    <row r="24" spans="2:7" ht="19.5" thickBot="1" x14ac:dyDescent="0.35">
      <c r="C24" s="56" t="s">
        <v>138</v>
      </c>
      <c r="D24" s="57"/>
      <c r="E24" s="16"/>
      <c r="F24" s="14"/>
    </row>
    <row r="25" spans="2:7" x14ac:dyDescent="0.3">
      <c r="C25" s="15"/>
      <c r="D25" s="15"/>
      <c r="E25" s="16"/>
      <c r="F25" s="14"/>
      <c r="G25" s="14"/>
    </row>
    <row r="26" spans="2:7" x14ac:dyDescent="0.3">
      <c r="C26" s="15"/>
      <c r="D26" s="15"/>
      <c r="E26" s="16"/>
      <c r="F26" s="14"/>
    </row>
    <row r="27" spans="2:7" ht="19.5" thickBot="1" x14ac:dyDescent="0.35">
      <c r="C27" s="15"/>
      <c r="D27" s="15"/>
      <c r="E27" s="16"/>
      <c r="F27" s="14"/>
    </row>
    <row r="28" spans="2:7" ht="19.5" thickTop="1" x14ac:dyDescent="0.3">
      <c r="C28" s="201" t="s">
        <v>90</v>
      </c>
      <c r="D28" s="201"/>
      <c r="E28" s="16"/>
      <c r="F28" s="14"/>
    </row>
    <row r="29" spans="2:7" x14ac:dyDescent="0.3">
      <c r="C29" s="25"/>
      <c r="D29" s="25"/>
      <c r="E29" s="16"/>
      <c r="F29" s="14"/>
    </row>
    <row r="30" spans="2:7" ht="18.75" customHeight="1" x14ac:dyDescent="0.25">
      <c r="C30" s="202" t="s">
        <v>73</v>
      </c>
      <c r="D30" s="203"/>
      <c r="E30" s="203"/>
      <c r="F30" s="203"/>
      <c r="G30" s="203"/>
    </row>
    <row r="31" spans="2:7" ht="15" customHeight="1" x14ac:dyDescent="0.25">
      <c r="C31" s="193" t="s">
        <v>74</v>
      </c>
      <c r="D31" s="194"/>
      <c r="E31" s="194"/>
      <c r="F31" s="194"/>
      <c r="G31" s="194"/>
    </row>
    <row r="32" spans="2:7" ht="15" customHeight="1" x14ac:dyDescent="0.35">
      <c r="C32" s="37" t="s">
        <v>75</v>
      </c>
      <c r="D32" s="20"/>
      <c r="E32" s="20"/>
      <c r="F32" s="20"/>
    </row>
    <row r="33" spans="1:11" ht="15" customHeight="1" thickBot="1" x14ac:dyDescent="0.4">
      <c r="C33" s="38"/>
      <c r="D33" s="20"/>
      <c r="E33" s="20"/>
      <c r="F33" s="20"/>
    </row>
    <row r="34" spans="1:11" ht="15" customHeight="1" x14ac:dyDescent="0.35">
      <c r="C34" s="39" t="s">
        <v>80</v>
      </c>
      <c r="D34" s="58">
        <f>D9</f>
        <v>0</v>
      </c>
      <c r="E34" s="20"/>
      <c r="F34" s="20"/>
    </row>
    <row r="35" spans="1:11" ht="15" customHeight="1" thickBot="1" x14ac:dyDescent="0.4">
      <c r="C35" s="40" t="s">
        <v>137</v>
      </c>
      <c r="D35" s="41" t="e">
        <f>#REF!</f>
        <v>#REF!</v>
      </c>
      <c r="E35" s="20"/>
      <c r="F35" s="20"/>
    </row>
    <row r="36" spans="1:11" ht="19.5" thickBot="1" x14ac:dyDescent="0.35">
      <c r="C36" s="25"/>
      <c r="D36" s="25"/>
      <c r="E36" s="16"/>
      <c r="F36" s="14"/>
    </row>
    <row r="37" spans="1:11" ht="15.75" thickBot="1" x14ac:dyDescent="0.3">
      <c r="A37" s="212" t="s">
        <v>139</v>
      </c>
      <c r="B37" s="205"/>
      <c r="C37" s="205"/>
      <c r="D37" s="205"/>
      <c r="E37" s="205"/>
      <c r="F37" s="205"/>
      <c r="G37" s="205"/>
    </row>
    <row r="38" spans="1:11" ht="19.5" customHeight="1" x14ac:dyDescent="0.25">
      <c r="A38" s="59" t="s">
        <v>140</v>
      </c>
      <c r="B38" s="42" t="s">
        <v>91</v>
      </c>
      <c r="C38" s="206" t="s">
        <v>92</v>
      </c>
      <c r="D38" s="206"/>
      <c r="E38" s="206"/>
      <c r="F38" s="206"/>
      <c r="G38" s="206"/>
      <c r="H38" s="43"/>
      <c r="I38" s="43"/>
      <c r="J38" s="43"/>
      <c r="K38" s="43"/>
    </row>
    <row r="39" spans="1:11" ht="19.5" customHeight="1" x14ac:dyDescent="0.25">
      <c r="A39" s="60">
        <v>1</v>
      </c>
      <c r="B39" s="44" t="s">
        <v>93</v>
      </c>
      <c r="C39" s="207" t="s">
        <v>94</v>
      </c>
      <c r="D39" s="207"/>
      <c r="E39" s="207"/>
      <c r="F39" s="207"/>
      <c r="G39" s="207"/>
    </row>
    <row r="40" spans="1:11" ht="15" x14ac:dyDescent="0.25">
      <c r="A40" s="213">
        <v>2</v>
      </c>
      <c r="B40" s="208" t="s">
        <v>95</v>
      </c>
      <c r="C40" s="204" t="s">
        <v>96</v>
      </c>
      <c r="D40" s="204"/>
      <c r="E40" s="204"/>
      <c r="F40" s="204"/>
      <c r="G40" s="204"/>
    </row>
    <row r="41" spans="1:11" ht="24" customHeight="1" x14ac:dyDescent="0.25">
      <c r="A41" s="213"/>
      <c r="B41" s="208"/>
      <c r="C41" s="204" t="s">
        <v>97</v>
      </c>
      <c r="D41" s="204"/>
      <c r="E41" s="204"/>
      <c r="F41" s="204"/>
      <c r="G41" s="204"/>
    </row>
    <row r="42" spans="1:11" ht="15" x14ac:dyDescent="0.25">
      <c r="A42" s="213">
        <v>3</v>
      </c>
      <c r="B42" s="208" t="s">
        <v>98</v>
      </c>
      <c r="C42" s="204" t="s">
        <v>99</v>
      </c>
      <c r="D42" s="204"/>
      <c r="E42" s="204"/>
      <c r="F42" s="204"/>
      <c r="G42" s="204"/>
    </row>
    <row r="43" spans="1:11" ht="15" x14ac:dyDescent="0.25">
      <c r="A43" s="213"/>
      <c r="B43" s="208"/>
      <c r="C43" s="204" t="s">
        <v>100</v>
      </c>
      <c r="D43" s="204"/>
      <c r="E43" s="204"/>
      <c r="F43" s="204"/>
      <c r="G43" s="204"/>
    </row>
    <row r="44" spans="1:11" ht="25.5" customHeight="1" x14ac:dyDescent="0.25">
      <c r="A44" s="213"/>
      <c r="B44" s="208"/>
      <c r="C44" s="204" t="s">
        <v>101</v>
      </c>
      <c r="D44" s="204"/>
      <c r="E44" s="204"/>
      <c r="F44" s="204"/>
      <c r="G44" s="204"/>
    </row>
    <row r="45" spans="1:11" ht="15" x14ac:dyDescent="0.25">
      <c r="A45" s="213"/>
      <c r="B45" s="208"/>
      <c r="C45" s="204" t="s">
        <v>102</v>
      </c>
      <c r="D45" s="204"/>
      <c r="E45" s="204"/>
      <c r="F45" s="204"/>
      <c r="G45" s="204"/>
    </row>
    <row r="46" spans="1:11" ht="15" x14ac:dyDescent="0.25">
      <c r="A46" s="213"/>
      <c r="B46" s="208"/>
      <c r="C46" s="204" t="s">
        <v>103</v>
      </c>
      <c r="D46" s="204"/>
      <c r="E46" s="204"/>
      <c r="F46" s="204"/>
      <c r="G46" s="204"/>
    </row>
    <row r="47" spans="1:11" ht="15" x14ac:dyDescent="0.25">
      <c r="A47" s="213"/>
      <c r="B47" s="208"/>
      <c r="C47" s="204" t="s">
        <v>104</v>
      </c>
      <c r="D47" s="204"/>
      <c r="E47" s="204"/>
      <c r="F47" s="204"/>
      <c r="G47" s="204"/>
    </row>
    <row r="48" spans="1:11" ht="25.5" customHeight="1" x14ac:dyDescent="0.25">
      <c r="A48" s="213"/>
      <c r="B48" s="208"/>
      <c r="C48" s="204" t="s">
        <v>105</v>
      </c>
      <c r="D48" s="204"/>
      <c r="E48" s="204"/>
      <c r="F48" s="204"/>
      <c r="G48" s="204"/>
    </row>
    <row r="49" spans="1:9" ht="15" x14ac:dyDescent="0.25">
      <c r="A49" s="213"/>
      <c r="B49" s="208"/>
      <c r="C49" s="204" t="s">
        <v>106</v>
      </c>
      <c r="D49" s="204"/>
      <c r="E49" s="204"/>
      <c r="F49" s="204"/>
      <c r="G49" s="204"/>
    </row>
    <row r="50" spans="1:9" ht="15" x14ac:dyDescent="0.25">
      <c r="A50" s="213"/>
      <c r="B50" s="208"/>
      <c r="C50" s="204" t="s">
        <v>107</v>
      </c>
      <c r="D50" s="204"/>
      <c r="E50" s="204"/>
      <c r="F50" s="204"/>
      <c r="G50" s="204"/>
    </row>
    <row r="51" spans="1:9" ht="15" x14ac:dyDescent="0.25">
      <c r="A51" s="213"/>
      <c r="B51" s="208"/>
      <c r="C51" s="204" t="s">
        <v>108</v>
      </c>
      <c r="D51" s="204"/>
      <c r="E51" s="204"/>
      <c r="F51" s="204"/>
      <c r="G51" s="204"/>
    </row>
    <row r="52" spans="1:9" ht="27.75" customHeight="1" x14ac:dyDescent="0.25">
      <c r="A52" s="213"/>
      <c r="B52" s="208"/>
      <c r="C52" s="204" t="s">
        <v>109</v>
      </c>
      <c r="D52" s="204"/>
      <c r="E52" s="204"/>
      <c r="F52" s="204"/>
      <c r="G52" s="204"/>
    </row>
    <row r="53" spans="1:9" ht="39" customHeight="1" x14ac:dyDescent="0.25">
      <c r="A53" s="213"/>
      <c r="B53" s="208"/>
      <c r="C53" s="204" t="s">
        <v>110</v>
      </c>
      <c r="D53" s="204"/>
      <c r="E53" s="204"/>
      <c r="F53" s="204"/>
      <c r="G53" s="204"/>
    </row>
    <row r="54" spans="1:9" ht="15" x14ac:dyDescent="0.25">
      <c r="A54" s="213">
        <v>4</v>
      </c>
      <c r="B54" s="208" t="s">
        <v>111</v>
      </c>
      <c r="C54" s="204" t="s">
        <v>112</v>
      </c>
      <c r="D54" s="204"/>
      <c r="E54" s="204"/>
      <c r="F54" s="204"/>
      <c r="G54" s="204"/>
      <c r="H54" s="61"/>
    </row>
    <row r="55" spans="1:9" ht="15" x14ac:dyDescent="0.25">
      <c r="A55" s="213"/>
      <c r="B55" s="208"/>
      <c r="C55" s="204" t="s">
        <v>113</v>
      </c>
      <c r="D55" s="204"/>
      <c r="E55" s="204"/>
      <c r="F55" s="204"/>
      <c r="G55" s="204"/>
    </row>
    <row r="56" spans="1:9" ht="15" x14ac:dyDescent="0.25">
      <c r="A56" s="213"/>
      <c r="B56" s="208"/>
      <c r="C56" s="204" t="s">
        <v>114</v>
      </c>
      <c r="D56" s="204"/>
      <c r="E56" s="204"/>
      <c r="F56" s="204"/>
      <c r="G56" s="204"/>
    </row>
    <row r="57" spans="1:9" ht="15" x14ac:dyDescent="0.25">
      <c r="A57" s="213"/>
      <c r="B57" s="208"/>
      <c r="C57" s="204" t="s">
        <v>115</v>
      </c>
      <c r="D57" s="204"/>
      <c r="E57" s="204"/>
      <c r="F57" s="204"/>
      <c r="G57" s="204"/>
    </row>
    <row r="58" spans="1:9" ht="15" x14ac:dyDescent="0.25">
      <c r="A58" s="213"/>
      <c r="B58" s="208"/>
      <c r="C58" s="204" t="s">
        <v>116</v>
      </c>
      <c r="D58" s="204"/>
      <c r="E58" s="204"/>
      <c r="F58" s="204"/>
      <c r="G58" s="204"/>
    </row>
    <row r="59" spans="1:9" ht="36.75" customHeight="1" x14ac:dyDescent="0.25">
      <c r="A59" s="213">
        <v>5</v>
      </c>
      <c r="B59" s="208" t="s">
        <v>117</v>
      </c>
      <c r="C59" s="204" t="s">
        <v>118</v>
      </c>
      <c r="D59" s="204"/>
      <c r="E59" s="204"/>
      <c r="F59" s="204"/>
      <c r="G59" s="204"/>
    </row>
    <row r="60" spans="1:9" ht="40.5" customHeight="1" x14ac:dyDescent="0.25">
      <c r="A60" s="213"/>
      <c r="B60" s="208"/>
      <c r="C60" s="204" t="s">
        <v>119</v>
      </c>
      <c r="D60" s="204"/>
      <c r="E60" s="204"/>
      <c r="F60" s="204"/>
      <c r="G60" s="204"/>
    </row>
    <row r="61" spans="1:9" ht="25.5" x14ac:dyDescent="0.25">
      <c r="A61" s="213">
        <v>6</v>
      </c>
      <c r="B61" s="44" t="s">
        <v>120</v>
      </c>
      <c r="C61" s="204" t="s">
        <v>121</v>
      </c>
      <c r="D61" s="204"/>
      <c r="E61" s="204"/>
      <c r="F61" s="204"/>
      <c r="G61" s="204"/>
      <c r="I61" s="209"/>
    </row>
    <row r="62" spans="1:9" ht="15" x14ac:dyDescent="0.25">
      <c r="A62" s="213"/>
      <c r="B62" s="210" t="s">
        <v>122</v>
      </c>
      <c r="C62" s="204" t="s">
        <v>123</v>
      </c>
      <c r="D62" s="204"/>
      <c r="E62" s="204"/>
      <c r="F62" s="204"/>
      <c r="G62" s="204"/>
      <c r="I62" s="209"/>
    </row>
    <row r="63" spans="1:9" ht="15" x14ac:dyDescent="0.25">
      <c r="A63" s="213"/>
      <c r="B63" s="210"/>
      <c r="C63" s="204" t="s">
        <v>124</v>
      </c>
      <c r="D63" s="204"/>
      <c r="E63" s="204"/>
      <c r="F63" s="204"/>
      <c r="G63" s="204"/>
      <c r="I63" s="209"/>
    </row>
    <row r="64" spans="1:9" ht="15" x14ac:dyDescent="0.25">
      <c r="A64" s="213"/>
      <c r="B64" s="210"/>
      <c r="C64" s="204" t="s">
        <v>125</v>
      </c>
      <c r="D64" s="204"/>
      <c r="E64" s="204"/>
      <c r="F64" s="204"/>
      <c r="G64" s="204"/>
      <c r="I64" s="209"/>
    </row>
    <row r="65" spans="1:9" ht="15" x14ac:dyDescent="0.25">
      <c r="A65" s="213"/>
      <c r="B65" s="210"/>
      <c r="C65" s="204" t="s">
        <v>126</v>
      </c>
      <c r="D65" s="204"/>
      <c r="E65" s="204"/>
      <c r="F65" s="204"/>
      <c r="G65" s="204"/>
      <c r="I65" s="209"/>
    </row>
    <row r="66" spans="1:9" ht="15" x14ac:dyDescent="0.25">
      <c r="A66" s="213"/>
      <c r="B66" s="210"/>
      <c r="C66" s="204" t="s">
        <v>127</v>
      </c>
      <c r="D66" s="204"/>
      <c r="E66" s="204"/>
      <c r="F66" s="204"/>
      <c r="G66" s="204"/>
      <c r="I66" s="209"/>
    </row>
    <row r="67" spans="1:9" ht="15" x14ac:dyDescent="0.25">
      <c r="A67" s="213"/>
      <c r="B67" s="210"/>
      <c r="C67" s="204" t="s">
        <v>128</v>
      </c>
      <c r="D67" s="204"/>
      <c r="E67" s="204"/>
      <c r="F67" s="204"/>
      <c r="G67" s="204"/>
      <c r="I67" s="209"/>
    </row>
    <row r="68" spans="1:9" ht="15" x14ac:dyDescent="0.25">
      <c r="A68" s="213"/>
      <c r="B68" s="210"/>
      <c r="C68" s="204" t="s">
        <v>129</v>
      </c>
      <c r="D68" s="204"/>
      <c r="E68" s="204"/>
      <c r="F68" s="204"/>
      <c r="G68" s="204"/>
      <c r="I68" s="209"/>
    </row>
    <row r="69" spans="1:9" ht="38.25" x14ac:dyDescent="0.25">
      <c r="A69" s="60">
        <v>7</v>
      </c>
      <c r="B69" s="45" t="s">
        <v>130</v>
      </c>
      <c r="C69" s="204" t="s">
        <v>131</v>
      </c>
      <c r="D69" s="204"/>
      <c r="E69" s="204"/>
      <c r="F69" s="204"/>
      <c r="G69" s="204"/>
      <c r="H69" s="62" t="s">
        <v>141</v>
      </c>
    </row>
    <row r="70" spans="1:9" ht="27.75" customHeight="1" thickBot="1" x14ac:dyDescent="0.3">
      <c r="A70" s="63">
        <v>8</v>
      </c>
      <c r="B70" s="47" t="s">
        <v>132</v>
      </c>
      <c r="C70" s="211" t="s">
        <v>133</v>
      </c>
      <c r="D70" s="211"/>
      <c r="E70" s="211"/>
      <c r="F70" s="211"/>
      <c r="G70" s="211"/>
    </row>
    <row r="71" spans="1:9" ht="27.75" customHeight="1" x14ac:dyDescent="0.25">
      <c r="A71" s="64"/>
      <c r="B71" s="48"/>
      <c r="C71" s="49"/>
      <c r="D71" s="49"/>
      <c r="E71" s="49"/>
      <c r="F71" s="49"/>
      <c r="G71" s="49"/>
    </row>
    <row r="72" spans="1:9" ht="27.75" customHeight="1" thickBot="1" x14ac:dyDescent="0.3">
      <c r="A72" s="64"/>
      <c r="B72" s="48"/>
      <c r="C72" s="49"/>
      <c r="D72" s="49"/>
      <c r="E72" s="49"/>
      <c r="F72" s="49"/>
      <c r="G72" s="49"/>
    </row>
    <row r="73" spans="1:9" ht="27.75" customHeight="1" thickTop="1" x14ac:dyDescent="0.25">
      <c r="A73" s="64"/>
      <c r="B73" s="48"/>
      <c r="D73" s="201" t="s">
        <v>90</v>
      </c>
      <c r="E73" s="201"/>
      <c r="F73" s="201"/>
      <c r="G73" s="49"/>
    </row>
  </sheetData>
  <protectedRanges>
    <protectedRange sqref="D17:D23" name="Rango1"/>
    <protectedRange sqref="D13:D16" name="Rango1_1"/>
  </protectedRanges>
  <mergeCells count="52">
    <mergeCell ref="C69:G69"/>
    <mergeCell ref="C70:G70"/>
    <mergeCell ref="D73:F73"/>
    <mergeCell ref="I61:I68"/>
    <mergeCell ref="B62:B68"/>
    <mergeCell ref="C62:G62"/>
    <mergeCell ref="C63:G63"/>
    <mergeCell ref="C64:G64"/>
    <mergeCell ref="C65:G65"/>
    <mergeCell ref="C66:G66"/>
    <mergeCell ref="C67:G67"/>
    <mergeCell ref="C68:G68"/>
    <mergeCell ref="C58:G58"/>
    <mergeCell ref="A59:A60"/>
    <mergeCell ref="B59:B60"/>
    <mergeCell ref="C59:G59"/>
    <mergeCell ref="C60:G60"/>
    <mergeCell ref="A61:A68"/>
    <mergeCell ref="C61:G61"/>
    <mergeCell ref="C50:G50"/>
    <mergeCell ref="C51:G51"/>
    <mergeCell ref="C52:G52"/>
    <mergeCell ref="C53:G53"/>
    <mergeCell ref="A54:A58"/>
    <mergeCell ref="B54:B58"/>
    <mergeCell ref="C54:G54"/>
    <mergeCell ref="C55:G55"/>
    <mergeCell ref="C56:G56"/>
    <mergeCell ref="C57:G57"/>
    <mergeCell ref="A42:A53"/>
    <mergeCell ref="B42:B53"/>
    <mergeCell ref="C42:G42"/>
    <mergeCell ref="C43:G43"/>
    <mergeCell ref="C49:G49"/>
    <mergeCell ref="A37:G37"/>
    <mergeCell ref="C38:G38"/>
    <mergeCell ref="C39:G39"/>
    <mergeCell ref="A40:A41"/>
    <mergeCell ref="B40:B41"/>
    <mergeCell ref="C40:G40"/>
    <mergeCell ref="C41:G41"/>
    <mergeCell ref="C44:G44"/>
    <mergeCell ref="C45:G45"/>
    <mergeCell ref="C46:G46"/>
    <mergeCell ref="C47:G47"/>
    <mergeCell ref="C48:G48"/>
    <mergeCell ref="C31:G31"/>
    <mergeCell ref="C1:F1"/>
    <mergeCell ref="C2:G2"/>
    <mergeCell ref="C5:D5"/>
    <mergeCell ref="C28:D28"/>
    <mergeCell ref="C30:G30"/>
  </mergeCells>
  <printOptions horizontalCentered="1"/>
  <pageMargins left="0.70866141732283472" right="0.70866141732283472" top="0.74803149606299213" bottom="0.74803149606299213" header="0.31496062992125984" footer="0.31496062992125984"/>
  <pageSetup scale="78" orientation="portrait" r:id="rId1"/>
  <rowBreaks count="1" manualBreakCount="1">
    <brk id="28"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Estudio de Mercado</vt:lpstr>
      <vt:lpstr>Estudio de Mercado 1</vt:lpstr>
      <vt:lpstr>Proveedor</vt:lpstr>
      <vt:lpstr>'Estudio de Mercado'!Área_de_impresión</vt:lpstr>
      <vt:lpstr>'Estudio de Mercado 1'!Área_de_impresión</vt:lpstr>
      <vt:lpstr>Proveedor!Área_de_impresión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Mendoza Siordia</dc:creator>
  <cp:lastModifiedBy>Office</cp:lastModifiedBy>
  <cp:lastPrinted>2026-03-10T19:52:33Z</cp:lastPrinted>
  <dcterms:created xsi:type="dcterms:W3CDTF">2020-01-15T22:36:28Z</dcterms:created>
  <dcterms:modified xsi:type="dcterms:W3CDTF">2026-04-30T22:57:57Z</dcterms:modified>
</cp:coreProperties>
</file>